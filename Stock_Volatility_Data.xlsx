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<sst xmlns="http://schemas.openxmlformats.org/spreadsheetml/2006/main" count="11" uniqueCount="11">
  <si>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Daily Return (AAPL)</t>
  </si>
  <si>
    <t>Daily Return (MSFT)</t>
  </si>
  <si>
    <t>Daily Return (XOM)</t>
  </si>
  <si>
    <t>Daily Return (CVX)</t>
  </si>
  <si>
    <t>Stock</t>
  </si>
  <si>
    <t>Avg Daily Return</t>
  </si>
  <si>
    <t>Volatility</t>
  </si>
  <si>
    <t>AAPL</t>
  </si>
  <si>
    <t>MSFT</t>
  </si>
  <si>
    <t>XOM</t>
  </si>
  <si>
    <t>CVX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</si>
</sst>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Stock Volatility Comparison (Tech vs Energy)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Sheet1!$Q$2:$Q$1756</c:f>
              <c:numCache/>
            </c:numRef>
          </c:val>
        </c:ser>
        <c:ser>
          <c:idx val="1"/>
          <c:order val="1"/>
          <c:tx>
            <c:strRef>
              <c:f>Sheet1!$O$1</c:f>
            </c:strRef>
          </c:tx>
          <c:val>
            <c:numRef>
              <c:f>Sheet1!$O$2:$O$1756</c:f>
              <c:numCache/>
            </c:numRef>
          </c:val>
        </c:ser>
        <c:axId val="2094102756"/>
        <c:axId val="847588341"/>
      </c:barChart>
      <c:catAx>
        <c:axId val="20941027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Volatility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588341"/>
      </c:catAx>
      <c:valAx>
        <c:axId val="8475883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1027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333375</xdr:colOff>
      <xdr:row>5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IFERROR(__xludf.DUMMYFUNCTION("GOOGLEFINANCE(""AAPL"",""price"",TODAY()-365*5,TODAY(),""DAILY"")"),"Date")</f>
        <v>Date</v>
      </c>
      <c r="B1" s="1" t="str">
        <f>IFERROR(__xludf.DUMMYFUNCTION("""COMPUTED_VALUE"""),"Close")</f>
        <v>Close</v>
      </c>
      <c r="C1" s="1" t="str">
        <f>IFERROR(__xludf.DUMMYFUNCTION("GOOGLEFINANCE(""MSFT"",""price"",TODAY()-365*5,TODAY(),""DAILY"")"),"Date")</f>
        <v>Date</v>
      </c>
      <c r="D1" s="1" t="str">
        <f>IFERROR(__xludf.DUMMYFUNCTION("""COMPUTED_VALUE"""),"Close")</f>
        <v>Close</v>
      </c>
      <c r="E1" s="1" t="str">
        <f>IFERROR(__xludf.DUMMYFUNCTION("GOOGLEFINANCE(""XOM"",""price"",TODAY()-365*5,TODAY(),""DAILY"")"),"Date")</f>
        <v>Date</v>
      </c>
      <c r="F1" s="1" t="str">
        <f>IFERROR(__xludf.DUMMYFUNCTION("""COMPUTED_VALUE"""),"Close")</f>
        <v>Close</v>
      </c>
      <c r="G1" s="1" t="str">
        <f>IFERROR(__xludf.DUMMYFUNCTION("GOOGLEFINANCE(""CVX"",""price"",TODAY()-365*5,TODAY(),""DAILY"")"),"Date")</f>
        <v>Date</v>
      </c>
      <c r="H1" s="1" t="str">
        <f>IFERROR(__xludf.DUMMYFUNCTION("""COMPUTED_VALUE"""),"Close")</f>
        <v>Close</v>
      </c>
      <c r="I1" s="2" t="s">
        <v>0</v>
      </c>
      <c r="K1" s="2" t="s">
        <v>1</v>
      </c>
      <c r="L1" s="3" t="s">
        <v>2</v>
      </c>
      <c r="M1" s="3" t="s">
        <v>3</v>
      </c>
      <c r="O1" s="3" t="s">
        <v>4</v>
      </c>
      <c r="P1" s="3" t="s">
        <v>5</v>
      </c>
      <c r="Q1" s="2" t="s">
        <v>6</v>
      </c>
    </row>
    <row r="2">
      <c r="A2" s="4">
        <f>IFERROR(__xludf.DUMMYFUNCTION("""COMPUTED_VALUE"""),44284.66666666667)</f>
        <v>44284.66667</v>
      </c>
      <c r="B2" s="1">
        <f>IFERROR(__xludf.DUMMYFUNCTION("""COMPUTED_VALUE"""),121.39)</f>
        <v>121.39</v>
      </c>
      <c r="C2" s="4">
        <f>IFERROR(__xludf.DUMMYFUNCTION("""COMPUTED_VALUE"""),44284.66666666667)</f>
        <v>44284.66667</v>
      </c>
      <c r="D2" s="1">
        <f>IFERROR(__xludf.DUMMYFUNCTION("""COMPUTED_VALUE"""),235.24)</f>
        <v>235.24</v>
      </c>
      <c r="E2" s="4">
        <f>IFERROR(__xludf.DUMMYFUNCTION("""COMPUTED_VALUE"""),44284.66666666667)</f>
        <v>44284.66667</v>
      </c>
      <c r="F2" s="1">
        <f>IFERROR(__xludf.DUMMYFUNCTION("""COMPUTED_VALUE"""),57.4)</f>
        <v>57.4</v>
      </c>
      <c r="G2" s="4">
        <f>IFERROR(__xludf.DUMMYFUNCTION("""COMPUTED_VALUE"""),44284.66666666667)</f>
        <v>44284.66667</v>
      </c>
      <c r="H2" s="1">
        <f>IFERROR(__xludf.DUMMYFUNCTION("""COMPUTED_VALUE"""),106.92)</f>
        <v>106.92</v>
      </c>
      <c r="I2" s="5">
        <f t="shared" ref="I2:I1256" si="1">(B3 - B2) / B2</f>
        <v>-0.01227448719</v>
      </c>
      <c r="K2" s="5">
        <f t="shared" ref="K2:K1256" si="2">(D3 - D2) / D2</f>
        <v>-0.01441081449</v>
      </c>
      <c r="L2" s="5">
        <f t="shared" ref="L2:L1256" si="3">(F3 - F2) / F2</f>
        <v>-0.01236933798</v>
      </c>
      <c r="M2" s="5">
        <f t="shared" ref="M2:M1256" si="4">(H3 - H2) / H2</f>
        <v>-0.009259259259</v>
      </c>
      <c r="O2" s="3" t="s">
        <v>7</v>
      </c>
      <c r="P2" s="5">
        <f>AVERAGE(I2:I1255)</f>
        <v>0.0007341466944</v>
      </c>
      <c r="Q2" s="5">
        <f>STDEV(I2:I1255)</f>
        <v>0.01729188392</v>
      </c>
    </row>
    <row r="3">
      <c r="A3" s="4">
        <f>IFERROR(__xludf.DUMMYFUNCTION("""COMPUTED_VALUE"""),44285.66666666667)</f>
        <v>44285.66667</v>
      </c>
      <c r="B3" s="1">
        <f>IFERROR(__xludf.DUMMYFUNCTION("""COMPUTED_VALUE"""),119.9)</f>
        <v>119.9</v>
      </c>
      <c r="C3" s="4">
        <f>IFERROR(__xludf.DUMMYFUNCTION("""COMPUTED_VALUE"""),44285.66666666667)</f>
        <v>44285.66667</v>
      </c>
      <c r="D3" s="1">
        <f>IFERROR(__xludf.DUMMYFUNCTION("""COMPUTED_VALUE"""),231.85)</f>
        <v>231.85</v>
      </c>
      <c r="E3" s="4">
        <f>IFERROR(__xludf.DUMMYFUNCTION("""COMPUTED_VALUE"""),44285.66666666667)</f>
        <v>44285.66667</v>
      </c>
      <c r="F3" s="1">
        <f>IFERROR(__xludf.DUMMYFUNCTION("""COMPUTED_VALUE"""),56.69)</f>
        <v>56.69</v>
      </c>
      <c r="G3" s="4">
        <f>IFERROR(__xludf.DUMMYFUNCTION("""COMPUTED_VALUE"""),44285.66666666667)</f>
        <v>44285.66667</v>
      </c>
      <c r="H3" s="1">
        <f>IFERROR(__xludf.DUMMYFUNCTION("""COMPUTED_VALUE"""),105.93)</f>
        <v>105.93</v>
      </c>
      <c r="I3" s="5">
        <f t="shared" si="1"/>
        <v>0.01876563803</v>
      </c>
      <c r="K3" s="5">
        <f t="shared" si="2"/>
        <v>0.01690748329</v>
      </c>
      <c r="L3" s="5">
        <f t="shared" si="3"/>
        <v>-0.01517022403</v>
      </c>
      <c r="M3" s="5">
        <f t="shared" si="4"/>
        <v>-0.01076182385</v>
      </c>
      <c r="O3" s="3" t="s">
        <v>8</v>
      </c>
      <c r="P3" s="5">
        <f>AVERAGE(K2:K1255)</f>
        <v>0.0004882743794</v>
      </c>
      <c r="Q3" s="5">
        <f>STDEV(K2:K1255)</f>
        <v>0.01648466923</v>
      </c>
    </row>
    <row r="4">
      <c r="A4" s="4">
        <f>IFERROR(__xludf.DUMMYFUNCTION("""COMPUTED_VALUE"""),44286.66666666667)</f>
        <v>44286.66667</v>
      </c>
      <c r="B4" s="1">
        <f>IFERROR(__xludf.DUMMYFUNCTION("""COMPUTED_VALUE"""),122.15)</f>
        <v>122.15</v>
      </c>
      <c r="C4" s="4">
        <f>IFERROR(__xludf.DUMMYFUNCTION("""COMPUTED_VALUE"""),44286.66666666667)</f>
        <v>44286.66667</v>
      </c>
      <c r="D4" s="1">
        <f>IFERROR(__xludf.DUMMYFUNCTION("""COMPUTED_VALUE"""),235.77)</f>
        <v>235.77</v>
      </c>
      <c r="E4" s="4">
        <f>IFERROR(__xludf.DUMMYFUNCTION("""COMPUTED_VALUE"""),44286.66666666667)</f>
        <v>44286.66667</v>
      </c>
      <c r="F4" s="1">
        <f>IFERROR(__xludf.DUMMYFUNCTION("""COMPUTED_VALUE"""),55.83)</f>
        <v>55.83</v>
      </c>
      <c r="G4" s="4">
        <f>IFERROR(__xludf.DUMMYFUNCTION("""COMPUTED_VALUE"""),44286.66666666667)</f>
        <v>44286.66667</v>
      </c>
      <c r="H4" s="1">
        <f>IFERROR(__xludf.DUMMYFUNCTION("""COMPUTED_VALUE"""),104.79)</f>
        <v>104.79</v>
      </c>
      <c r="I4" s="5">
        <f t="shared" si="1"/>
        <v>0.006958657388</v>
      </c>
      <c r="K4" s="5">
        <f t="shared" si="2"/>
        <v>0.02790855495</v>
      </c>
      <c r="L4" s="5">
        <f t="shared" si="3"/>
        <v>0.02794196668</v>
      </c>
      <c r="M4" s="5">
        <f t="shared" si="4"/>
        <v>0.009161179502</v>
      </c>
      <c r="O4" s="3" t="s">
        <v>9</v>
      </c>
      <c r="P4" s="5">
        <f>AVERAGE(L2:L1255)</f>
        <v>0.000984801748</v>
      </c>
      <c r="Q4" s="5">
        <f>STDEV(L2:L1255)</f>
        <v>0.01674656242</v>
      </c>
    </row>
    <row r="5">
      <c r="A5" s="4">
        <f>IFERROR(__xludf.DUMMYFUNCTION("""COMPUTED_VALUE"""),44287.66666666667)</f>
        <v>44287.66667</v>
      </c>
      <c r="B5" s="1">
        <f>IFERROR(__xludf.DUMMYFUNCTION("""COMPUTED_VALUE"""),123.0)</f>
        <v>123</v>
      </c>
      <c r="C5" s="4">
        <f>IFERROR(__xludf.DUMMYFUNCTION("""COMPUTED_VALUE"""),44287.66666666667)</f>
        <v>44287.66667</v>
      </c>
      <c r="D5" s="1">
        <f>IFERROR(__xludf.DUMMYFUNCTION("""COMPUTED_VALUE"""),242.35)</f>
        <v>242.35</v>
      </c>
      <c r="E5" s="4">
        <f>IFERROR(__xludf.DUMMYFUNCTION("""COMPUTED_VALUE"""),44287.66666666667)</f>
        <v>44287.66667</v>
      </c>
      <c r="F5" s="1">
        <f>IFERROR(__xludf.DUMMYFUNCTION("""COMPUTED_VALUE"""),57.39)</f>
        <v>57.39</v>
      </c>
      <c r="G5" s="4">
        <f>IFERROR(__xludf.DUMMYFUNCTION("""COMPUTED_VALUE"""),44287.66666666667)</f>
        <v>44287.66667</v>
      </c>
      <c r="H5" s="1">
        <f>IFERROR(__xludf.DUMMYFUNCTION("""COMPUTED_VALUE"""),105.75)</f>
        <v>105.75</v>
      </c>
      <c r="I5" s="5">
        <f t="shared" si="1"/>
        <v>0.02357723577</v>
      </c>
      <c r="K5" s="5">
        <f t="shared" si="2"/>
        <v>0.02772849185</v>
      </c>
      <c r="L5" s="5">
        <f t="shared" si="3"/>
        <v>-0.01550792821</v>
      </c>
      <c r="M5" s="5">
        <f t="shared" si="4"/>
        <v>-0.01172576832</v>
      </c>
      <c r="O5" s="3" t="s">
        <v>10</v>
      </c>
      <c r="P5" s="5">
        <f>AVERAGE(M2:M1255)</f>
        <v>0.0006556164154</v>
      </c>
      <c r="Q5" s="5">
        <f>STDEV(M2:M1255)</f>
        <v>0.01582759469</v>
      </c>
    </row>
    <row r="6">
      <c r="A6" s="4">
        <f>IFERROR(__xludf.DUMMYFUNCTION("""COMPUTED_VALUE"""),44291.66666666667)</f>
        <v>44291.66667</v>
      </c>
      <c r="B6" s="1">
        <f>IFERROR(__xludf.DUMMYFUNCTION("""COMPUTED_VALUE"""),125.9)</f>
        <v>125.9</v>
      </c>
      <c r="C6" s="4">
        <f>IFERROR(__xludf.DUMMYFUNCTION("""COMPUTED_VALUE"""),44291.66666666667)</f>
        <v>44291.66667</v>
      </c>
      <c r="D6" s="1">
        <f>IFERROR(__xludf.DUMMYFUNCTION("""COMPUTED_VALUE"""),249.07)</f>
        <v>249.07</v>
      </c>
      <c r="E6" s="4">
        <f>IFERROR(__xludf.DUMMYFUNCTION("""COMPUTED_VALUE"""),44291.66666666667)</f>
        <v>44291.66667</v>
      </c>
      <c r="F6" s="1">
        <f>IFERROR(__xludf.DUMMYFUNCTION("""COMPUTED_VALUE"""),56.5)</f>
        <v>56.5</v>
      </c>
      <c r="G6" s="4">
        <f>IFERROR(__xludf.DUMMYFUNCTION("""COMPUTED_VALUE"""),44291.66666666667)</f>
        <v>44291.66667</v>
      </c>
      <c r="H6" s="1">
        <f>IFERROR(__xludf.DUMMYFUNCTION("""COMPUTED_VALUE"""),104.51)</f>
        <v>104.51</v>
      </c>
      <c r="I6" s="5">
        <f t="shared" si="1"/>
        <v>0.002462271644</v>
      </c>
      <c r="K6" s="5">
        <f t="shared" si="2"/>
        <v>-0.004858072028</v>
      </c>
      <c r="L6" s="5">
        <f t="shared" si="3"/>
        <v>-0.002831858407</v>
      </c>
      <c r="M6" s="5">
        <f t="shared" si="4"/>
        <v>-0.008898669984</v>
      </c>
      <c r="Q6" s="5"/>
    </row>
    <row r="7">
      <c r="A7" s="4">
        <f>IFERROR(__xludf.DUMMYFUNCTION("""COMPUTED_VALUE"""),44292.66666666667)</f>
        <v>44292.66667</v>
      </c>
      <c r="B7" s="1">
        <f>IFERROR(__xludf.DUMMYFUNCTION("""COMPUTED_VALUE"""),126.21)</f>
        <v>126.21</v>
      </c>
      <c r="C7" s="4">
        <f>IFERROR(__xludf.DUMMYFUNCTION("""COMPUTED_VALUE"""),44292.66666666667)</f>
        <v>44292.66667</v>
      </c>
      <c r="D7" s="1">
        <f>IFERROR(__xludf.DUMMYFUNCTION("""COMPUTED_VALUE"""),247.86)</f>
        <v>247.86</v>
      </c>
      <c r="E7" s="4">
        <f>IFERROR(__xludf.DUMMYFUNCTION("""COMPUTED_VALUE"""),44292.66666666667)</f>
        <v>44292.66667</v>
      </c>
      <c r="F7" s="1">
        <f>IFERROR(__xludf.DUMMYFUNCTION("""COMPUTED_VALUE"""),56.34)</f>
        <v>56.34</v>
      </c>
      <c r="G7" s="4">
        <f>IFERROR(__xludf.DUMMYFUNCTION("""COMPUTED_VALUE"""),44292.66666666667)</f>
        <v>44292.66667</v>
      </c>
      <c r="H7" s="1">
        <f>IFERROR(__xludf.DUMMYFUNCTION("""COMPUTED_VALUE"""),103.58)</f>
        <v>103.58</v>
      </c>
      <c r="I7" s="5">
        <f t="shared" si="1"/>
        <v>0.01339038111</v>
      </c>
      <c r="K7" s="5">
        <f t="shared" si="2"/>
        <v>0.008230452675</v>
      </c>
      <c r="L7" s="5">
        <f t="shared" si="3"/>
        <v>0.004437344693</v>
      </c>
      <c r="M7" s="5">
        <f t="shared" si="4"/>
        <v>0.005889167793</v>
      </c>
      <c r="Q7" s="5"/>
    </row>
    <row r="8">
      <c r="A8" s="4">
        <f>IFERROR(__xludf.DUMMYFUNCTION("""COMPUTED_VALUE"""),44293.66666666667)</f>
        <v>44293.66667</v>
      </c>
      <c r="B8" s="1">
        <f>IFERROR(__xludf.DUMMYFUNCTION("""COMPUTED_VALUE"""),127.9)</f>
        <v>127.9</v>
      </c>
      <c r="C8" s="4">
        <f>IFERROR(__xludf.DUMMYFUNCTION("""COMPUTED_VALUE"""),44293.66666666667)</f>
        <v>44293.66667</v>
      </c>
      <c r="D8" s="1">
        <f>IFERROR(__xludf.DUMMYFUNCTION("""COMPUTED_VALUE"""),249.9)</f>
        <v>249.9</v>
      </c>
      <c r="E8" s="4">
        <f>IFERROR(__xludf.DUMMYFUNCTION("""COMPUTED_VALUE"""),44293.66666666667)</f>
        <v>44293.66667</v>
      </c>
      <c r="F8" s="1">
        <f>IFERROR(__xludf.DUMMYFUNCTION("""COMPUTED_VALUE"""),56.59)</f>
        <v>56.59</v>
      </c>
      <c r="G8" s="4">
        <f>IFERROR(__xludf.DUMMYFUNCTION("""COMPUTED_VALUE"""),44293.66666666667)</f>
        <v>44293.66667</v>
      </c>
      <c r="H8" s="1">
        <f>IFERROR(__xludf.DUMMYFUNCTION("""COMPUTED_VALUE"""),104.19)</f>
        <v>104.19</v>
      </c>
      <c r="I8" s="5">
        <f t="shared" si="1"/>
        <v>0.01923377639</v>
      </c>
      <c r="K8" s="5">
        <f t="shared" si="2"/>
        <v>0.01340536214</v>
      </c>
      <c r="L8" s="5">
        <f t="shared" si="3"/>
        <v>-0.0104258703</v>
      </c>
      <c r="M8" s="5">
        <f t="shared" si="4"/>
        <v>-0.0112294846</v>
      </c>
      <c r="Q8" s="5"/>
    </row>
    <row r="9">
      <c r="A9" s="4">
        <f>IFERROR(__xludf.DUMMYFUNCTION("""COMPUTED_VALUE"""),44294.66666666667)</f>
        <v>44294.66667</v>
      </c>
      <c r="B9" s="1">
        <f>IFERROR(__xludf.DUMMYFUNCTION("""COMPUTED_VALUE"""),130.36)</f>
        <v>130.36</v>
      </c>
      <c r="C9" s="4">
        <f>IFERROR(__xludf.DUMMYFUNCTION("""COMPUTED_VALUE"""),44294.66666666667)</f>
        <v>44294.66667</v>
      </c>
      <c r="D9" s="1">
        <f>IFERROR(__xludf.DUMMYFUNCTION("""COMPUTED_VALUE"""),253.25)</f>
        <v>253.25</v>
      </c>
      <c r="E9" s="4">
        <f>IFERROR(__xludf.DUMMYFUNCTION("""COMPUTED_VALUE"""),44294.66666666667)</f>
        <v>44294.66667</v>
      </c>
      <c r="F9" s="1">
        <f>IFERROR(__xludf.DUMMYFUNCTION("""COMPUTED_VALUE"""),56.0)</f>
        <v>56</v>
      </c>
      <c r="G9" s="4">
        <f>IFERROR(__xludf.DUMMYFUNCTION("""COMPUTED_VALUE"""),44294.66666666667)</f>
        <v>44294.66667</v>
      </c>
      <c r="H9" s="1">
        <f>IFERROR(__xludf.DUMMYFUNCTION("""COMPUTED_VALUE"""),103.02)</f>
        <v>103.02</v>
      </c>
      <c r="I9" s="5">
        <f t="shared" si="1"/>
        <v>0.02025161092</v>
      </c>
      <c r="K9" s="5">
        <f t="shared" si="2"/>
        <v>0.01026653504</v>
      </c>
      <c r="L9" s="5">
        <f t="shared" si="3"/>
        <v>-0.002321428571</v>
      </c>
      <c r="M9" s="5">
        <f t="shared" si="4"/>
        <v>-0.0009706853038</v>
      </c>
      <c r="Q9" s="5"/>
    </row>
    <row r="10">
      <c r="A10" s="4">
        <f>IFERROR(__xludf.DUMMYFUNCTION("""COMPUTED_VALUE"""),44295.66666666667)</f>
        <v>44295.66667</v>
      </c>
      <c r="B10" s="1">
        <f>IFERROR(__xludf.DUMMYFUNCTION("""COMPUTED_VALUE"""),133.0)</f>
        <v>133</v>
      </c>
      <c r="C10" s="4">
        <f>IFERROR(__xludf.DUMMYFUNCTION("""COMPUTED_VALUE"""),44295.66666666667)</f>
        <v>44295.66667</v>
      </c>
      <c r="D10" s="1">
        <f>IFERROR(__xludf.DUMMYFUNCTION("""COMPUTED_VALUE"""),255.85)</f>
        <v>255.85</v>
      </c>
      <c r="E10" s="4">
        <f>IFERROR(__xludf.DUMMYFUNCTION("""COMPUTED_VALUE"""),44295.66666666667)</f>
        <v>44295.66667</v>
      </c>
      <c r="F10" s="1">
        <f>IFERROR(__xludf.DUMMYFUNCTION("""COMPUTED_VALUE"""),55.87)</f>
        <v>55.87</v>
      </c>
      <c r="G10" s="4">
        <f>IFERROR(__xludf.DUMMYFUNCTION("""COMPUTED_VALUE"""),44295.66666666667)</f>
        <v>44295.66667</v>
      </c>
      <c r="H10" s="1">
        <f>IFERROR(__xludf.DUMMYFUNCTION("""COMPUTED_VALUE"""),102.92)</f>
        <v>102.92</v>
      </c>
      <c r="I10" s="5">
        <f t="shared" si="1"/>
        <v>-0.01323308271</v>
      </c>
      <c r="K10" s="5">
        <f t="shared" si="2"/>
        <v>0.0002345124096</v>
      </c>
      <c r="L10" s="5">
        <f t="shared" si="3"/>
        <v>-0.006622516556</v>
      </c>
      <c r="M10" s="5">
        <f t="shared" si="4"/>
        <v>-0.01107656432</v>
      </c>
      <c r="Q10" s="5"/>
    </row>
    <row r="11">
      <c r="A11" s="4">
        <f>IFERROR(__xludf.DUMMYFUNCTION("""COMPUTED_VALUE"""),44298.66666666667)</f>
        <v>44298.66667</v>
      </c>
      <c r="B11" s="1">
        <f>IFERROR(__xludf.DUMMYFUNCTION("""COMPUTED_VALUE"""),131.24)</f>
        <v>131.24</v>
      </c>
      <c r="C11" s="4">
        <f>IFERROR(__xludf.DUMMYFUNCTION("""COMPUTED_VALUE"""),44298.66666666667)</f>
        <v>44298.66667</v>
      </c>
      <c r="D11" s="1">
        <f>IFERROR(__xludf.DUMMYFUNCTION("""COMPUTED_VALUE"""),255.91)</f>
        <v>255.91</v>
      </c>
      <c r="E11" s="4">
        <f>IFERROR(__xludf.DUMMYFUNCTION("""COMPUTED_VALUE"""),44298.66666666667)</f>
        <v>44298.66667</v>
      </c>
      <c r="F11" s="1">
        <f>IFERROR(__xludf.DUMMYFUNCTION("""COMPUTED_VALUE"""),55.5)</f>
        <v>55.5</v>
      </c>
      <c r="G11" s="4">
        <f>IFERROR(__xludf.DUMMYFUNCTION("""COMPUTED_VALUE"""),44298.66666666667)</f>
        <v>44298.66667</v>
      </c>
      <c r="H11" s="1">
        <f>IFERROR(__xludf.DUMMYFUNCTION("""COMPUTED_VALUE"""),101.78)</f>
        <v>101.78</v>
      </c>
      <c r="I11" s="5">
        <f t="shared" si="1"/>
        <v>0.02430661384</v>
      </c>
      <c r="K11" s="5">
        <f t="shared" si="2"/>
        <v>0.01008166934</v>
      </c>
      <c r="L11" s="5">
        <f t="shared" si="3"/>
        <v>0.003783783784</v>
      </c>
      <c r="M11" s="5">
        <f t="shared" si="4"/>
        <v>0.004519551975</v>
      </c>
      <c r="Q11" s="5"/>
    </row>
    <row r="12">
      <c r="A12" s="4">
        <f>IFERROR(__xludf.DUMMYFUNCTION("""COMPUTED_VALUE"""),44299.66666666667)</f>
        <v>44299.66667</v>
      </c>
      <c r="B12" s="1">
        <f>IFERROR(__xludf.DUMMYFUNCTION("""COMPUTED_VALUE"""),134.43)</f>
        <v>134.43</v>
      </c>
      <c r="C12" s="4">
        <f>IFERROR(__xludf.DUMMYFUNCTION("""COMPUTED_VALUE"""),44299.66666666667)</f>
        <v>44299.66667</v>
      </c>
      <c r="D12" s="1">
        <f>IFERROR(__xludf.DUMMYFUNCTION("""COMPUTED_VALUE"""),258.49)</f>
        <v>258.49</v>
      </c>
      <c r="E12" s="4">
        <f>IFERROR(__xludf.DUMMYFUNCTION("""COMPUTED_VALUE"""),44299.66666666667)</f>
        <v>44299.66667</v>
      </c>
      <c r="F12" s="1">
        <f>IFERROR(__xludf.DUMMYFUNCTION("""COMPUTED_VALUE"""),55.71)</f>
        <v>55.71</v>
      </c>
      <c r="G12" s="4">
        <f>IFERROR(__xludf.DUMMYFUNCTION("""COMPUTED_VALUE"""),44299.66666666667)</f>
        <v>44299.66667</v>
      </c>
      <c r="H12" s="1">
        <f>IFERROR(__xludf.DUMMYFUNCTION("""COMPUTED_VALUE"""),102.24)</f>
        <v>102.24</v>
      </c>
      <c r="I12" s="5">
        <f t="shared" si="1"/>
        <v>-0.01785315778</v>
      </c>
      <c r="K12" s="5">
        <f t="shared" si="2"/>
        <v>-0.01121900267</v>
      </c>
      <c r="L12" s="5">
        <f t="shared" si="3"/>
        <v>0.02889965895</v>
      </c>
      <c r="M12" s="5">
        <f t="shared" si="4"/>
        <v>0.01985524257</v>
      </c>
      <c r="Q12" s="5"/>
    </row>
    <row r="13">
      <c r="A13" s="4">
        <f>IFERROR(__xludf.DUMMYFUNCTION("""COMPUTED_VALUE"""),44300.66666666667)</f>
        <v>44300.66667</v>
      </c>
      <c r="B13" s="1">
        <f>IFERROR(__xludf.DUMMYFUNCTION("""COMPUTED_VALUE"""),132.03)</f>
        <v>132.03</v>
      </c>
      <c r="C13" s="4">
        <f>IFERROR(__xludf.DUMMYFUNCTION("""COMPUTED_VALUE"""),44300.66666666667)</f>
        <v>44300.66667</v>
      </c>
      <c r="D13" s="1">
        <f>IFERROR(__xludf.DUMMYFUNCTION("""COMPUTED_VALUE"""),255.59)</f>
        <v>255.59</v>
      </c>
      <c r="E13" s="4">
        <f>IFERROR(__xludf.DUMMYFUNCTION("""COMPUTED_VALUE"""),44300.66666666667)</f>
        <v>44300.66667</v>
      </c>
      <c r="F13" s="1">
        <f>IFERROR(__xludf.DUMMYFUNCTION("""COMPUTED_VALUE"""),57.32)</f>
        <v>57.32</v>
      </c>
      <c r="G13" s="4">
        <f>IFERROR(__xludf.DUMMYFUNCTION("""COMPUTED_VALUE"""),44300.66666666667)</f>
        <v>44300.66667</v>
      </c>
      <c r="H13" s="1">
        <f>IFERROR(__xludf.DUMMYFUNCTION("""COMPUTED_VALUE"""),104.27)</f>
        <v>104.27</v>
      </c>
      <c r="I13" s="5">
        <f t="shared" si="1"/>
        <v>0.01870786942</v>
      </c>
      <c r="K13" s="5">
        <f t="shared" si="2"/>
        <v>0.0152979381</v>
      </c>
      <c r="L13" s="5">
        <f t="shared" si="3"/>
        <v>-0.005931612003</v>
      </c>
      <c r="M13" s="5">
        <f t="shared" si="4"/>
        <v>-0.008151913302</v>
      </c>
      <c r="Q13" s="5"/>
    </row>
    <row r="14">
      <c r="A14" s="4">
        <f>IFERROR(__xludf.DUMMYFUNCTION("""COMPUTED_VALUE"""),44301.66666666667)</f>
        <v>44301.66667</v>
      </c>
      <c r="B14" s="1">
        <f>IFERROR(__xludf.DUMMYFUNCTION("""COMPUTED_VALUE"""),134.5)</f>
        <v>134.5</v>
      </c>
      <c r="C14" s="4">
        <f>IFERROR(__xludf.DUMMYFUNCTION("""COMPUTED_VALUE"""),44301.66666666667)</f>
        <v>44301.66667</v>
      </c>
      <c r="D14" s="1">
        <f>IFERROR(__xludf.DUMMYFUNCTION("""COMPUTED_VALUE"""),259.5)</f>
        <v>259.5</v>
      </c>
      <c r="E14" s="4">
        <f>IFERROR(__xludf.DUMMYFUNCTION("""COMPUTED_VALUE"""),44301.66666666667)</f>
        <v>44301.66667</v>
      </c>
      <c r="F14" s="1">
        <f>IFERROR(__xludf.DUMMYFUNCTION("""COMPUTED_VALUE"""),56.98)</f>
        <v>56.98</v>
      </c>
      <c r="G14" s="4">
        <f>IFERROR(__xludf.DUMMYFUNCTION("""COMPUTED_VALUE"""),44301.66666666667)</f>
        <v>44301.66667</v>
      </c>
      <c r="H14" s="1">
        <f>IFERROR(__xludf.DUMMYFUNCTION("""COMPUTED_VALUE"""),103.42)</f>
        <v>103.42</v>
      </c>
      <c r="I14" s="5">
        <f t="shared" si="1"/>
        <v>-0.002527881041</v>
      </c>
      <c r="K14" s="5">
        <f t="shared" si="2"/>
        <v>0.004778420039</v>
      </c>
      <c r="L14" s="5">
        <f t="shared" si="3"/>
        <v>-0.005616005616</v>
      </c>
      <c r="M14" s="5">
        <f t="shared" si="4"/>
        <v>-0.004447882421</v>
      </c>
      <c r="Q14" s="5"/>
    </row>
    <row r="15">
      <c r="A15" s="4">
        <f>IFERROR(__xludf.DUMMYFUNCTION("""COMPUTED_VALUE"""),44302.66666666667)</f>
        <v>44302.66667</v>
      </c>
      <c r="B15" s="1">
        <f>IFERROR(__xludf.DUMMYFUNCTION("""COMPUTED_VALUE"""),134.16)</f>
        <v>134.16</v>
      </c>
      <c r="C15" s="4">
        <f>IFERROR(__xludf.DUMMYFUNCTION("""COMPUTED_VALUE"""),44302.66666666667)</f>
        <v>44302.66667</v>
      </c>
      <c r="D15" s="1">
        <f>IFERROR(__xludf.DUMMYFUNCTION("""COMPUTED_VALUE"""),260.74)</f>
        <v>260.74</v>
      </c>
      <c r="E15" s="4">
        <f>IFERROR(__xludf.DUMMYFUNCTION("""COMPUTED_VALUE"""),44302.66666666667)</f>
        <v>44302.66667</v>
      </c>
      <c r="F15" s="1">
        <f>IFERROR(__xludf.DUMMYFUNCTION("""COMPUTED_VALUE"""),56.66)</f>
        <v>56.66</v>
      </c>
      <c r="G15" s="4">
        <f>IFERROR(__xludf.DUMMYFUNCTION("""COMPUTED_VALUE"""),44302.66666666667)</f>
        <v>44302.66667</v>
      </c>
      <c r="H15" s="1">
        <f>IFERROR(__xludf.DUMMYFUNCTION("""COMPUTED_VALUE"""),102.96)</f>
        <v>102.96</v>
      </c>
      <c r="I15" s="5">
        <f t="shared" si="1"/>
        <v>0.005068574836</v>
      </c>
      <c r="K15" s="5">
        <f t="shared" si="2"/>
        <v>-0.007670476337</v>
      </c>
      <c r="L15" s="5">
        <f t="shared" si="3"/>
        <v>-0.003176844335</v>
      </c>
      <c r="M15" s="5">
        <f t="shared" si="4"/>
        <v>0.002913752914</v>
      </c>
      <c r="Q15" s="5"/>
    </row>
    <row r="16">
      <c r="A16" s="4">
        <f>IFERROR(__xludf.DUMMYFUNCTION("""COMPUTED_VALUE"""),44305.66666666667)</f>
        <v>44305.66667</v>
      </c>
      <c r="B16" s="1">
        <f>IFERROR(__xludf.DUMMYFUNCTION("""COMPUTED_VALUE"""),134.84)</f>
        <v>134.84</v>
      </c>
      <c r="C16" s="4">
        <f>IFERROR(__xludf.DUMMYFUNCTION("""COMPUTED_VALUE"""),44305.66666666667)</f>
        <v>44305.66667</v>
      </c>
      <c r="D16" s="1">
        <f>IFERROR(__xludf.DUMMYFUNCTION("""COMPUTED_VALUE"""),258.74)</f>
        <v>258.74</v>
      </c>
      <c r="E16" s="4">
        <f>IFERROR(__xludf.DUMMYFUNCTION("""COMPUTED_VALUE"""),44305.66666666667)</f>
        <v>44305.66667</v>
      </c>
      <c r="F16" s="1">
        <f>IFERROR(__xludf.DUMMYFUNCTION("""COMPUTED_VALUE"""),56.48)</f>
        <v>56.48</v>
      </c>
      <c r="G16" s="4">
        <f>IFERROR(__xludf.DUMMYFUNCTION("""COMPUTED_VALUE"""),44305.66666666667)</f>
        <v>44305.66667</v>
      </c>
      <c r="H16" s="1">
        <f>IFERROR(__xludf.DUMMYFUNCTION("""COMPUTED_VALUE"""),103.26)</f>
        <v>103.26</v>
      </c>
      <c r="I16" s="5">
        <f t="shared" si="1"/>
        <v>-0.01283002077</v>
      </c>
      <c r="K16" s="5">
        <f t="shared" si="2"/>
        <v>-0.00185514416</v>
      </c>
      <c r="L16" s="5">
        <f t="shared" si="3"/>
        <v>-0.0210694051</v>
      </c>
      <c r="M16" s="5">
        <f t="shared" si="4"/>
        <v>-0.01869068371</v>
      </c>
      <c r="Q16" s="5"/>
    </row>
    <row r="17">
      <c r="A17" s="4">
        <f>IFERROR(__xludf.DUMMYFUNCTION("""COMPUTED_VALUE"""),44306.66666666667)</f>
        <v>44306.66667</v>
      </c>
      <c r="B17" s="1">
        <f>IFERROR(__xludf.DUMMYFUNCTION("""COMPUTED_VALUE"""),133.11)</f>
        <v>133.11</v>
      </c>
      <c r="C17" s="4">
        <f>IFERROR(__xludf.DUMMYFUNCTION("""COMPUTED_VALUE"""),44306.66666666667)</f>
        <v>44306.66667</v>
      </c>
      <c r="D17" s="1">
        <f>IFERROR(__xludf.DUMMYFUNCTION("""COMPUTED_VALUE"""),258.26)</f>
        <v>258.26</v>
      </c>
      <c r="E17" s="4">
        <f>IFERROR(__xludf.DUMMYFUNCTION("""COMPUTED_VALUE"""),44306.66666666667)</f>
        <v>44306.66667</v>
      </c>
      <c r="F17" s="1">
        <f>IFERROR(__xludf.DUMMYFUNCTION("""COMPUTED_VALUE"""),55.29)</f>
        <v>55.29</v>
      </c>
      <c r="G17" s="4">
        <f>IFERROR(__xludf.DUMMYFUNCTION("""COMPUTED_VALUE"""),44306.66666666667)</f>
        <v>44306.66667</v>
      </c>
      <c r="H17" s="1">
        <f>IFERROR(__xludf.DUMMYFUNCTION("""COMPUTED_VALUE"""),101.33)</f>
        <v>101.33</v>
      </c>
      <c r="I17" s="5">
        <f t="shared" si="1"/>
        <v>0.002929907595</v>
      </c>
      <c r="K17" s="5">
        <f t="shared" si="2"/>
        <v>0.00898319523</v>
      </c>
      <c r="L17" s="5">
        <f t="shared" si="3"/>
        <v>0.01284138181</v>
      </c>
      <c r="M17" s="5">
        <f t="shared" si="4"/>
        <v>0.01381624396</v>
      </c>
      <c r="Q17" s="5"/>
    </row>
    <row r="18">
      <c r="A18" s="4">
        <f>IFERROR(__xludf.DUMMYFUNCTION("""COMPUTED_VALUE"""),44307.66666666667)</f>
        <v>44307.66667</v>
      </c>
      <c r="B18" s="1">
        <f>IFERROR(__xludf.DUMMYFUNCTION("""COMPUTED_VALUE"""),133.5)</f>
        <v>133.5</v>
      </c>
      <c r="C18" s="4">
        <f>IFERROR(__xludf.DUMMYFUNCTION("""COMPUTED_VALUE"""),44307.66666666667)</f>
        <v>44307.66667</v>
      </c>
      <c r="D18" s="1">
        <f>IFERROR(__xludf.DUMMYFUNCTION("""COMPUTED_VALUE"""),260.58)</f>
        <v>260.58</v>
      </c>
      <c r="E18" s="4">
        <f>IFERROR(__xludf.DUMMYFUNCTION("""COMPUTED_VALUE"""),44307.66666666667)</f>
        <v>44307.66667</v>
      </c>
      <c r="F18" s="1">
        <f>IFERROR(__xludf.DUMMYFUNCTION("""COMPUTED_VALUE"""),56.0)</f>
        <v>56</v>
      </c>
      <c r="G18" s="4">
        <f>IFERROR(__xludf.DUMMYFUNCTION("""COMPUTED_VALUE"""),44307.66666666667)</f>
        <v>44307.66667</v>
      </c>
      <c r="H18" s="1">
        <f>IFERROR(__xludf.DUMMYFUNCTION("""COMPUTED_VALUE"""),102.73)</f>
        <v>102.73</v>
      </c>
      <c r="I18" s="5">
        <f t="shared" si="1"/>
        <v>-0.01168539326</v>
      </c>
      <c r="K18" s="5">
        <f t="shared" si="2"/>
        <v>-0.01308619234</v>
      </c>
      <c r="L18" s="5">
        <f t="shared" si="3"/>
        <v>-0.01303571429</v>
      </c>
      <c r="M18" s="5">
        <f t="shared" si="4"/>
        <v>-0.01732697362</v>
      </c>
      <c r="Q18" s="5"/>
    </row>
    <row r="19">
      <c r="A19" s="4">
        <f>IFERROR(__xludf.DUMMYFUNCTION("""COMPUTED_VALUE"""),44308.66666666667)</f>
        <v>44308.66667</v>
      </c>
      <c r="B19" s="1">
        <f>IFERROR(__xludf.DUMMYFUNCTION("""COMPUTED_VALUE"""),131.94)</f>
        <v>131.94</v>
      </c>
      <c r="C19" s="4">
        <f>IFERROR(__xludf.DUMMYFUNCTION("""COMPUTED_VALUE"""),44308.66666666667)</f>
        <v>44308.66667</v>
      </c>
      <c r="D19" s="1">
        <f>IFERROR(__xludf.DUMMYFUNCTION("""COMPUTED_VALUE"""),257.17)</f>
        <v>257.17</v>
      </c>
      <c r="E19" s="4">
        <f>IFERROR(__xludf.DUMMYFUNCTION("""COMPUTED_VALUE"""),44308.66666666667)</f>
        <v>44308.66667</v>
      </c>
      <c r="F19" s="1">
        <f>IFERROR(__xludf.DUMMYFUNCTION("""COMPUTED_VALUE"""),55.27)</f>
        <v>55.27</v>
      </c>
      <c r="G19" s="4">
        <f>IFERROR(__xludf.DUMMYFUNCTION("""COMPUTED_VALUE"""),44308.66666666667)</f>
        <v>44308.66667</v>
      </c>
      <c r="H19" s="1">
        <f>IFERROR(__xludf.DUMMYFUNCTION("""COMPUTED_VALUE"""),100.95)</f>
        <v>100.95</v>
      </c>
      <c r="I19" s="5">
        <f t="shared" si="1"/>
        <v>0.01803850235</v>
      </c>
      <c r="K19" s="5">
        <f t="shared" si="2"/>
        <v>0.01547614418</v>
      </c>
      <c r="L19" s="5">
        <f t="shared" si="3"/>
        <v>0.005427899403</v>
      </c>
      <c r="M19" s="5">
        <f t="shared" si="4"/>
        <v>0.005943536404</v>
      </c>
      <c r="Q19" s="5"/>
    </row>
    <row r="20">
      <c r="A20" s="4">
        <f>IFERROR(__xludf.DUMMYFUNCTION("""COMPUTED_VALUE"""),44309.66666666667)</f>
        <v>44309.66667</v>
      </c>
      <c r="B20" s="1">
        <f>IFERROR(__xludf.DUMMYFUNCTION("""COMPUTED_VALUE"""),134.32)</f>
        <v>134.32</v>
      </c>
      <c r="C20" s="4">
        <f>IFERROR(__xludf.DUMMYFUNCTION("""COMPUTED_VALUE"""),44309.66666666667)</f>
        <v>44309.66667</v>
      </c>
      <c r="D20" s="1">
        <f>IFERROR(__xludf.DUMMYFUNCTION("""COMPUTED_VALUE"""),261.15)</f>
        <v>261.15</v>
      </c>
      <c r="E20" s="4">
        <f>IFERROR(__xludf.DUMMYFUNCTION("""COMPUTED_VALUE"""),44309.66666666667)</f>
        <v>44309.66667</v>
      </c>
      <c r="F20" s="1">
        <f>IFERROR(__xludf.DUMMYFUNCTION("""COMPUTED_VALUE"""),55.57)</f>
        <v>55.57</v>
      </c>
      <c r="G20" s="4">
        <f>IFERROR(__xludf.DUMMYFUNCTION("""COMPUTED_VALUE"""),44309.66666666667)</f>
        <v>44309.66667</v>
      </c>
      <c r="H20" s="1">
        <f>IFERROR(__xludf.DUMMYFUNCTION("""COMPUTED_VALUE"""),101.55)</f>
        <v>101.55</v>
      </c>
      <c r="I20" s="5">
        <f t="shared" si="1"/>
        <v>0.002977963073</v>
      </c>
      <c r="K20" s="5">
        <f t="shared" si="2"/>
        <v>0.00153168677</v>
      </c>
      <c r="L20" s="5">
        <f t="shared" si="3"/>
        <v>0.001979485334</v>
      </c>
      <c r="M20" s="5">
        <f t="shared" si="4"/>
        <v>-0.0002954209749</v>
      </c>
      <c r="Q20" s="5"/>
    </row>
    <row r="21">
      <c r="A21" s="4">
        <f>IFERROR(__xludf.DUMMYFUNCTION("""COMPUTED_VALUE"""),44312.66666666667)</f>
        <v>44312.66667</v>
      </c>
      <c r="B21" s="1">
        <f>IFERROR(__xludf.DUMMYFUNCTION("""COMPUTED_VALUE"""),134.72)</f>
        <v>134.72</v>
      </c>
      <c r="C21" s="4">
        <f>IFERROR(__xludf.DUMMYFUNCTION("""COMPUTED_VALUE"""),44312.66666666667)</f>
        <v>44312.66667</v>
      </c>
      <c r="D21" s="1">
        <f>IFERROR(__xludf.DUMMYFUNCTION("""COMPUTED_VALUE"""),261.55)</f>
        <v>261.55</v>
      </c>
      <c r="E21" s="4">
        <f>IFERROR(__xludf.DUMMYFUNCTION("""COMPUTED_VALUE"""),44312.66666666667)</f>
        <v>44312.66667</v>
      </c>
      <c r="F21" s="1">
        <f>IFERROR(__xludf.DUMMYFUNCTION("""COMPUTED_VALUE"""),55.68)</f>
        <v>55.68</v>
      </c>
      <c r="G21" s="4">
        <f>IFERROR(__xludf.DUMMYFUNCTION("""COMPUTED_VALUE"""),44312.66666666667)</f>
        <v>44312.66667</v>
      </c>
      <c r="H21" s="1">
        <f>IFERROR(__xludf.DUMMYFUNCTION("""COMPUTED_VALUE"""),101.52)</f>
        <v>101.52</v>
      </c>
      <c r="I21" s="5">
        <f t="shared" si="1"/>
        <v>-0.002449524941</v>
      </c>
      <c r="K21" s="5">
        <f t="shared" si="2"/>
        <v>0.001605811508</v>
      </c>
      <c r="L21" s="5">
        <f t="shared" si="3"/>
        <v>0.01311063218</v>
      </c>
      <c r="M21" s="5">
        <f t="shared" si="4"/>
        <v>0.01162332545</v>
      </c>
      <c r="Q21" s="5"/>
    </row>
    <row r="22">
      <c r="A22" s="4">
        <f>IFERROR(__xludf.DUMMYFUNCTION("""COMPUTED_VALUE"""),44313.66666666667)</f>
        <v>44313.66667</v>
      </c>
      <c r="B22" s="1">
        <f>IFERROR(__xludf.DUMMYFUNCTION("""COMPUTED_VALUE"""),134.39)</f>
        <v>134.39</v>
      </c>
      <c r="C22" s="4">
        <f>IFERROR(__xludf.DUMMYFUNCTION("""COMPUTED_VALUE"""),44313.66666666667)</f>
        <v>44313.66667</v>
      </c>
      <c r="D22" s="1">
        <f>IFERROR(__xludf.DUMMYFUNCTION("""COMPUTED_VALUE"""),261.97)</f>
        <v>261.97</v>
      </c>
      <c r="E22" s="4">
        <f>IFERROR(__xludf.DUMMYFUNCTION("""COMPUTED_VALUE"""),44313.66666666667)</f>
        <v>44313.66667</v>
      </c>
      <c r="F22" s="1">
        <f>IFERROR(__xludf.DUMMYFUNCTION("""COMPUTED_VALUE"""),56.41)</f>
        <v>56.41</v>
      </c>
      <c r="G22" s="4">
        <f>IFERROR(__xludf.DUMMYFUNCTION("""COMPUTED_VALUE"""),44313.66666666667)</f>
        <v>44313.66667</v>
      </c>
      <c r="H22" s="1">
        <f>IFERROR(__xludf.DUMMYFUNCTION("""COMPUTED_VALUE"""),102.7)</f>
        <v>102.7</v>
      </c>
      <c r="I22" s="5">
        <f t="shared" si="1"/>
        <v>-0.006027234169</v>
      </c>
      <c r="K22" s="5">
        <f t="shared" si="2"/>
        <v>-0.02828568157</v>
      </c>
      <c r="L22" s="5">
        <f t="shared" si="3"/>
        <v>0.03013650062</v>
      </c>
      <c r="M22" s="5">
        <f t="shared" si="4"/>
        <v>0.02453748783</v>
      </c>
      <c r="Q22" s="5"/>
    </row>
    <row r="23">
      <c r="A23" s="4">
        <f>IFERROR(__xludf.DUMMYFUNCTION("""COMPUTED_VALUE"""),44314.66666666667)</f>
        <v>44314.66667</v>
      </c>
      <c r="B23" s="1">
        <f>IFERROR(__xludf.DUMMYFUNCTION("""COMPUTED_VALUE"""),133.58)</f>
        <v>133.58</v>
      </c>
      <c r="C23" s="4">
        <f>IFERROR(__xludf.DUMMYFUNCTION("""COMPUTED_VALUE"""),44314.66666666667)</f>
        <v>44314.66667</v>
      </c>
      <c r="D23" s="1">
        <f>IFERROR(__xludf.DUMMYFUNCTION("""COMPUTED_VALUE"""),254.56)</f>
        <v>254.56</v>
      </c>
      <c r="E23" s="4">
        <f>IFERROR(__xludf.DUMMYFUNCTION("""COMPUTED_VALUE"""),44314.66666666667)</f>
        <v>44314.66667</v>
      </c>
      <c r="F23" s="1">
        <f>IFERROR(__xludf.DUMMYFUNCTION("""COMPUTED_VALUE"""),58.11)</f>
        <v>58.11</v>
      </c>
      <c r="G23" s="4">
        <f>IFERROR(__xludf.DUMMYFUNCTION("""COMPUTED_VALUE"""),44314.66666666667)</f>
        <v>44314.66667</v>
      </c>
      <c r="H23" s="1">
        <f>IFERROR(__xludf.DUMMYFUNCTION("""COMPUTED_VALUE"""),105.22)</f>
        <v>105.22</v>
      </c>
      <c r="I23" s="5">
        <f t="shared" si="1"/>
        <v>-0.0007486150621</v>
      </c>
      <c r="K23" s="5">
        <f t="shared" si="2"/>
        <v>-0.008053111251</v>
      </c>
      <c r="L23" s="5">
        <f t="shared" si="3"/>
        <v>0.01428325589</v>
      </c>
      <c r="M23" s="5">
        <f t="shared" si="4"/>
        <v>0.01596654628</v>
      </c>
      <c r="Q23" s="5"/>
    </row>
    <row r="24">
      <c r="A24" s="4">
        <f>IFERROR(__xludf.DUMMYFUNCTION("""COMPUTED_VALUE"""),44315.66666666667)</f>
        <v>44315.66667</v>
      </c>
      <c r="B24" s="1">
        <f>IFERROR(__xludf.DUMMYFUNCTION("""COMPUTED_VALUE"""),133.48)</f>
        <v>133.48</v>
      </c>
      <c r="C24" s="4">
        <f>IFERROR(__xludf.DUMMYFUNCTION("""COMPUTED_VALUE"""),44315.66666666667)</f>
        <v>44315.66667</v>
      </c>
      <c r="D24" s="1">
        <f>IFERROR(__xludf.DUMMYFUNCTION("""COMPUTED_VALUE"""),252.51)</f>
        <v>252.51</v>
      </c>
      <c r="E24" s="4">
        <f>IFERROR(__xludf.DUMMYFUNCTION("""COMPUTED_VALUE"""),44315.66666666667)</f>
        <v>44315.66667</v>
      </c>
      <c r="F24" s="1">
        <f>IFERROR(__xludf.DUMMYFUNCTION("""COMPUTED_VALUE"""),58.94)</f>
        <v>58.94</v>
      </c>
      <c r="G24" s="4">
        <f>IFERROR(__xludf.DUMMYFUNCTION("""COMPUTED_VALUE"""),44315.66666666667)</f>
        <v>44315.66667</v>
      </c>
      <c r="H24" s="1">
        <f>IFERROR(__xludf.DUMMYFUNCTION("""COMPUTED_VALUE"""),106.9)</f>
        <v>106.9</v>
      </c>
      <c r="I24" s="5">
        <f t="shared" si="1"/>
        <v>-0.01513335331</v>
      </c>
      <c r="K24" s="5">
        <f t="shared" si="2"/>
        <v>-0.001306878935</v>
      </c>
      <c r="L24" s="5">
        <f t="shared" si="3"/>
        <v>-0.02884289108</v>
      </c>
      <c r="M24" s="5">
        <f t="shared" si="4"/>
        <v>-0.03582787652</v>
      </c>
      <c r="Q24" s="5"/>
    </row>
    <row r="25">
      <c r="A25" s="4">
        <f>IFERROR(__xludf.DUMMYFUNCTION("""COMPUTED_VALUE"""),44316.66666666667)</f>
        <v>44316.66667</v>
      </c>
      <c r="B25" s="1">
        <f>IFERROR(__xludf.DUMMYFUNCTION("""COMPUTED_VALUE"""),131.46)</f>
        <v>131.46</v>
      </c>
      <c r="C25" s="4">
        <f>IFERROR(__xludf.DUMMYFUNCTION("""COMPUTED_VALUE"""),44316.66666666667)</f>
        <v>44316.66667</v>
      </c>
      <c r="D25" s="1">
        <f>IFERROR(__xludf.DUMMYFUNCTION("""COMPUTED_VALUE"""),252.18)</f>
        <v>252.18</v>
      </c>
      <c r="E25" s="4">
        <f>IFERROR(__xludf.DUMMYFUNCTION("""COMPUTED_VALUE"""),44316.66666666667)</f>
        <v>44316.66667</v>
      </c>
      <c r="F25" s="1">
        <f>IFERROR(__xludf.DUMMYFUNCTION("""COMPUTED_VALUE"""),57.24)</f>
        <v>57.24</v>
      </c>
      <c r="G25" s="4">
        <f>IFERROR(__xludf.DUMMYFUNCTION("""COMPUTED_VALUE"""),44316.66666666667)</f>
        <v>44316.66667</v>
      </c>
      <c r="H25" s="1">
        <f>IFERROR(__xludf.DUMMYFUNCTION("""COMPUTED_VALUE"""),103.07)</f>
        <v>103.07</v>
      </c>
      <c r="I25" s="5">
        <f t="shared" si="1"/>
        <v>0.008215426746</v>
      </c>
      <c r="K25" s="5">
        <f t="shared" si="2"/>
        <v>-0.001268934888</v>
      </c>
      <c r="L25" s="5">
        <f t="shared" si="3"/>
        <v>0.02760307477</v>
      </c>
      <c r="M25" s="5">
        <f t="shared" si="4"/>
        <v>0.02386727467</v>
      </c>
      <c r="Q25" s="5"/>
    </row>
    <row r="26">
      <c r="A26" s="4">
        <f>IFERROR(__xludf.DUMMYFUNCTION("""COMPUTED_VALUE"""),44319.66666666667)</f>
        <v>44319.66667</v>
      </c>
      <c r="B26" s="1">
        <f>IFERROR(__xludf.DUMMYFUNCTION("""COMPUTED_VALUE"""),132.54)</f>
        <v>132.54</v>
      </c>
      <c r="C26" s="4">
        <f>IFERROR(__xludf.DUMMYFUNCTION("""COMPUTED_VALUE"""),44319.66666666667)</f>
        <v>44319.66667</v>
      </c>
      <c r="D26" s="1">
        <f>IFERROR(__xludf.DUMMYFUNCTION("""COMPUTED_VALUE"""),251.86)</f>
        <v>251.86</v>
      </c>
      <c r="E26" s="4">
        <f>IFERROR(__xludf.DUMMYFUNCTION("""COMPUTED_VALUE"""),44319.66666666667)</f>
        <v>44319.66667</v>
      </c>
      <c r="F26" s="1">
        <f>IFERROR(__xludf.DUMMYFUNCTION("""COMPUTED_VALUE"""),58.82)</f>
        <v>58.82</v>
      </c>
      <c r="G26" s="4">
        <f>IFERROR(__xludf.DUMMYFUNCTION("""COMPUTED_VALUE"""),44319.66666666667)</f>
        <v>44319.66667</v>
      </c>
      <c r="H26" s="1">
        <f>IFERROR(__xludf.DUMMYFUNCTION("""COMPUTED_VALUE"""),105.53)</f>
        <v>105.53</v>
      </c>
      <c r="I26" s="5">
        <f t="shared" si="1"/>
        <v>-0.03538554399</v>
      </c>
      <c r="K26" s="5">
        <f t="shared" si="2"/>
        <v>-0.0161597713</v>
      </c>
      <c r="L26" s="5">
        <f t="shared" si="3"/>
        <v>0.006290377423</v>
      </c>
      <c r="M26" s="5">
        <f t="shared" si="4"/>
        <v>0.005496067469</v>
      </c>
      <c r="Q26" s="5"/>
    </row>
    <row r="27">
      <c r="A27" s="4">
        <f>IFERROR(__xludf.DUMMYFUNCTION("""COMPUTED_VALUE"""),44320.66666666667)</f>
        <v>44320.66667</v>
      </c>
      <c r="B27" s="1">
        <f>IFERROR(__xludf.DUMMYFUNCTION("""COMPUTED_VALUE"""),127.85)</f>
        <v>127.85</v>
      </c>
      <c r="C27" s="4">
        <f>IFERROR(__xludf.DUMMYFUNCTION("""COMPUTED_VALUE"""),44320.66666666667)</f>
        <v>44320.66667</v>
      </c>
      <c r="D27" s="1">
        <f>IFERROR(__xludf.DUMMYFUNCTION("""COMPUTED_VALUE"""),247.79)</f>
        <v>247.79</v>
      </c>
      <c r="E27" s="4">
        <f>IFERROR(__xludf.DUMMYFUNCTION("""COMPUTED_VALUE"""),44320.66666666667)</f>
        <v>44320.66667</v>
      </c>
      <c r="F27" s="1">
        <f>IFERROR(__xludf.DUMMYFUNCTION("""COMPUTED_VALUE"""),59.19)</f>
        <v>59.19</v>
      </c>
      <c r="G27" s="4">
        <f>IFERROR(__xludf.DUMMYFUNCTION("""COMPUTED_VALUE"""),44320.66666666667)</f>
        <v>44320.66667</v>
      </c>
      <c r="H27" s="1">
        <f>IFERROR(__xludf.DUMMYFUNCTION("""COMPUTED_VALUE"""),106.11)</f>
        <v>106.11</v>
      </c>
      <c r="I27" s="5">
        <f t="shared" si="1"/>
        <v>0.001955416504</v>
      </c>
      <c r="K27" s="5">
        <f t="shared" si="2"/>
        <v>-0.005327091489</v>
      </c>
      <c r="L27" s="5">
        <f t="shared" si="3"/>
        <v>0.03007264741</v>
      </c>
      <c r="M27" s="5">
        <f t="shared" si="4"/>
        <v>0.02685891999</v>
      </c>
      <c r="Q27" s="5"/>
    </row>
    <row r="28">
      <c r="A28" s="4">
        <f>IFERROR(__xludf.DUMMYFUNCTION("""COMPUTED_VALUE"""),44321.66666666667)</f>
        <v>44321.66667</v>
      </c>
      <c r="B28" s="1">
        <f>IFERROR(__xludf.DUMMYFUNCTION("""COMPUTED_VALUE"""),128.1)</f>
        <v>128.1</v>
      </c>
      <c r="C28" s="4">
        <f>IFERROR(__xludf.DUMMYFUNCTION("""COMPUTED_VALUE"""),44321.66666666667)</f>
        <v>44321.66667</v>
      </c>
      <c r="D28" s="1">
        <f>IFERROR(__xludf.DUMMYFUNCTION("""COMPUTED_VALUE"""),246.47)</f>
        <v>246.47</v>
      </c>
      <c r="E28" s="4">
        <f>IFERROR(__xludf.DUMMYFUNCTION("""COMPUTED_VALUE"""),44321.66666666667)</f>
        <v>44321.66667</v>
      </c>
      <c r="F28" s="1">
        <f>IFERROR(__xludf.DUMMYFUNCTION("""COMPUTED_VALUE"""),60.97)</f>
        <v>60.97</v>
      </c>
      <c r="G28" s="4">
        <f>IFERROR(__xludf.DUMMYFUNCTION("""COMPUTED_VALUE"""),44321.66666666667)</f>
        <v>44321.66667</v>
      </c>
      <c r="H28" s="1">
        <f>IFERROR(__xludf.DUMMYFUNCTION("""COMPUTED_VALUE"""),108.96)</f>
        <v>108.96</v>
      </c>
      <c r="I28" s="5">
        <f t="shared" si="1"/>
        <v>0.01280249805</v>
      </c>
      <c r="K28" s="5">
        <f t="shared" si="2"/>
        <v>0.01322676188</v>
      </c>
      <c r="L28" s="5">
        <f t="shared" si="3"/>
        <v>0.009512875185</v>
      </c>
      <c r="M28" s="5">
        <f t="shared" si="4"/>
        <v>0.000550660793</v>
      </c>
      <c r="Q28" s="5"/>
    </row>
    <row r="29">
      <c r="A29" s="4">
        <f>IFERROR(__xludf.DUMMYFUNCTION("""COMPUTED_VALUE"""),44322.66666666667)</f>
        <v>44322.66667</v>
      </c>
      <c r="B29" s="1">
        <f>IFERROR(__xludf.DUMMYFUNCTION("""COMPUTED_VALUE"""),129.74)</f>
        <v>129.74</v>
      </c>
      <c r="C29" s="4">
        <f>IFERROR(__xludf.DUMMYFUNCTION("""COMPUTED_VALUE"""),44322.66666666667)</f>
        <v>44322.66667</v>
      </c>
      <c r="D29" s="1">
        <f>IFERROR(__xludf.DUMMYFUNCTION("""COMPUTED_VALUE"""),249.73)</f>
        <v>249.73</v>
      </c>
      <c r="E29" s="4">
        <f>IFERROR(__xludf.DUMMYFUNCTION("""COMPUTED_VALUE"""),44322.66666666667)</f>
        <v>44322.66667</v>
      </c>
      <c r="F29" s="1">
        <f>IFERROR(__xludf.DUMMYFUNCTION("""COMPUTED_VALUE"""),61.55)</f>
        <v>61.55</v>
      </c>
      <c r="G29" s="4">
        <f>IFERROR(__xludf.DUMMYFUNCTION("""COMPUTED_VALUE"""),44322.66666666667)</f>
        <v>44322.66667</v>
      </c>
      <c r="H29" s="1">
        <f>IFERROR(__xludf.DUMMYFUNCTION("""COMPUTED_VALUE"""),109.02)</f>
        <v>109.02</v>
      </c>
      <c r="I29" s="5">
        <f t="shared" si="1"/>
        <v>0.003622629875</v>
      </c>
      <c r="K29" s="5">
        <f t="shared" si="2"/>
        <v>0.01093180635</v>
      </c>
      <c r="L29" s="5">
        <f t="shared" si="3"/>
        <v>0.01429731925</v>
      </c>
      <c r="M29" s="5">
        <f t="shared" si="4"/>
        <v>0.009172628875</v>
      </c>
      <c r="Q29" s="5"/>
    </row>
    <row r="30">
      <c r="A30" s="4">
        <f>IFERROR(__xludf.DUMMYFUNCTION("""COMPUTED_VALUE"""),44323.66666666667)</f>
        <v>44323.66667</v>
      </c>
      <c r="B30" s="1">
        <f>IFERROR(__xludf.DUMMYFUNCTION("""COMPUTED_VALUE"""),130.21)</f>
        <v>130.21</v>
      </c>
      <c r="C30" s="4">
        <f>IFERROR(__xludf.DUMMYFUNCTION("""COMPUTED_VALUE"""),44323.66666666667)</f>
        <v>44323.66667</v>
      </c>
      <c r="D30" s="1">
        <f>IFERROR(__xludf.DUMMYFUNCTION("""COMPUTED_VALUE"""),252.46)</f>
        <v>252.46</v>
      </c>
      <c r="E30" s="4">
        <f>IFERROR(__xludf.DUMMYFUNCTION("""COMPUTED_VALUE"""),44323.66666666667)</f>
        <v>44323.66667</v>
      </c>
      <c r="F30" s="1">
        <f>IFERROR(__xludf.DUMMYFUNCTION("""COMPUTED_VALUE"""),62.43)</f>
        <v>62.43</v>
      </c>
      <c r="G30" s="4">
        <f>IFERROR(__xludf.DUMMYFUNCTION("""COMPUTED_VALUE"""),44323.66666666667)</f>
        <v>44323.66667</v>
      </c>
      <c r="H30" s="1">
        <f>IFERROR(__xludf.DUMMYFUNCTION("""COMPUTED_VALUE"""),110.02)</f>
        <v>110.02</v>
      </c>
      <c r="I30" s="5">
        <f t="shared" si="1"/>
        <v>-0.0258044697</v>
      </c>
      <c r="K30" s="5">
        <f t="shared" si="2"/>
        <v>-0.02091420423</v>
      </c>
      <c r="L30" s="5">
        <f t="shared" si="3"/>
        <v>0.002402691014</v>
      </c>
      <c r="M30" s="5">
        <f t="shared" si="4"/>
        <v>-0.004090165424</v>
      </c>
      <c r="Q30" s="5"/>
    </row>
    <row r="31">
      <c r="A31" s="4">
        <f>IFERROR(__xludf.DUMMYFUNCTION("""COMPUTED_VALUE"""),44326.66666666667)</f>
        <v>44326.66667</v>
      </c>
      <c r="B31" s="1">
        <f>IFERROR(__xludf.DUMMYFUNCTION("""COMPUTED_VALUE"""),126.85)</f>
        <v>126.85</v>
      </c>
      <c r="C31" s="4">
        <f>IFERROR(__xludf.DUMMYFUNCTION("""COMPUTED_VALUE"""),44326.66666666667)</f>
        <v>44326.66667</v>
      </c>
      <c r="D31" s="1">
        <f>IFERROR(__xludf.DUMMYFUNCTION("""COMPUTED_VALUE"""),247.18)</f>
        <v>247.18</v>
      </c>
      <c r="E31" s="4">
        <f>IFERROR(__xludf.DUMMYFUNCTION("""COMPUTED_VALUE"""),44326.66666666667)</f>
        <v>44326.66667</v>
      </c>
      <c r="F31" s="1">
        <f>IFERROR(__xludf.DUMMYFUNCTION("""COMPUTED_VALUE"""),62.58)</f>
        <v>62.58</v>
      </c>
      <c r="G31" s="4">
        <f>IFERROR(__xludf.DUMMYFUNCTION("""COMPUTED_VALUE"""),44326.66666666667)</f>
        <v>44326.66667</v>
      </c>
      <c r="H31" s="1">
        <f>IFERROR(__xludf.DUMMYFUNCTION("""COMPUTED_VALUE"""),109.57)</f>
        <v>109.57</v>
      </c>
      <c r="I31" s="5">
        <f t="shared" si="1"/>
        <v>-0.007410327158</v>
      </c>
      <c r="K31" s="5">
        <f t="shared" si="2"/>
        <v>-0.003843353022</v>
      </c>
      <c r="L31" s="5">
        <f t="shared" si="3"/>
        <v>-0.0317992969</v>
      </c>
      <c r="M31" s="5">
        <f t="shared" si="4"/>
        <v>-0.02619330109</v>
      </c>
      <c r="Q31" s="5"/>
    </row>
    <row r="32">
      <c r="A32" s="4">
        <f>IFERROR(__xludf.DUMMYFUNCTION("""COMPUTED_VALUE"""),44327.66666666667)</f>
        <v>44327.66667</v>
      </c>
      <c r="B32" s="1">
        <f>IFERROR(__xludf.DUMMYFUNCTION("""COMPUTED_VALUE"""),125.91)</f>
        <v>125.91</v>
      </c>
      <c r="C32" s="4">
        <f>IFERROR(__xludf.DUMMYFUNCTION("""COMPUTED_VALUE"""),44327.66666666667)</f>
        <v>44327.66667</v>
      </c>
      <c r="D32" s="1">
        <f>IFERROR(__xludf.DUMMYFUNCTION("""COMPUTED_VALUE"""),246.23)</f>
        <v>246.23</v>
      </c>
      <c r="E32" s="4">
        <f>IFERROR(__xludf.DUMMYFUNCTION("""COMPUTED_VALUE"""),44327.66666666667)</f>
        <v>44327.66667</v>
      </c>
      <c r="F32" s="1">
        <f>IFERROR(__xludf.DUMMYFUNCTION("""COMPUTED_VALUE"""),60.59)</f>
        <v>60.59</v>
      </c>
      <c r="G32" s="4">
        <f>IFERROR(__xludf.DUMMYFUNCTION("""COMPUTED_VALUE"""),44327.66666666667)</f>
        <v>44327.66667</v>
      </c>
      <c r="H32" s="1">
        <f>IFERROR(__xludf.DUMMYFUNCTION("""COMPUTED_VALUE"""),106.7)</f>
        <v>106.7</v>
      </c>
      <c r="I32" s="5">
        <f t="shared" si="1"/>
        <v>-0.0249384481</v>
      </c>
      <c r="K32" s="5">
        <f t="shared" si="2"/>
        <v>-0.02936279089</v>
      </c>
      <c r="L32" s="5">
        <f t="shared" si="3"/>
        <v>-0.009077405512</v>
      </c>
      <c r="M32" s="5">
        <f t="shared" si="4"/>
        <v>0.006279287723</v>
      </c>
      <c r="Q32" s="5"/>
    </row>
    <row r="33">
      <c r="A33" s="4">
        <f>IFERROR(__xludf.DUMMYFUNCTION("""COMPUTED_VALUE"""),44328.66666666667)</f>
        <v>44328.66667</v>
      </c>
      <c r="B33" s="1">
        <f>IFERROR(__xludf.DUMMYFUNCTION("""COMPUTED_VALUE"""),122.77)</f>
        <v>122.77</v>
      </c>
      <c r="C33" s="4">
        <f>IFERROR(__xludf.DUMMYFUNCTION("""COMPUTED_VALUE"""),44328.66666666667)</f>
        <v>44328.66667</v>
      </c>
      <c r="D33" s="1">
        <f>IFERROR(__xludf.DUMMYFUNCTION("""COMPUTED_VALUE"""),239.0)</f>
        <v>239</v>
      </c>
      <c r="E33" s="4">
        <f>IFERROR(__xludf.DUMMYFUNCTION("""COMPUTED_VALUE"""),44328.66666666667)</f>
        <v>44328.66667</v>
      </c>
      <c r="F33" s="1">
        <f>IFERROR(__xludf.DUMMYFUNCTION("""COMPUTED_VALUE"""),60.04)</f>
        <v>60.04</v>
      </c>
      <c r="G33" s="4">
        <f>IFERROR(__xludf.DUMMYFUNCTION("""COMPUTED_VALUE"""),44328.66666666667)</f>
        <v>44328.66667</v>
      </c>
      <c r="H33" s="1">
        <f>IFERROR(__xludf.DUMMYFUNCTION("""COMPUTED_VALUE"""),107.37)</f>
        <v>107.37</v>
      </c>
      <c r="I33" s="5">
        <f t="shared" si="1"/>
        <v>0.01791968722</v>
      </c>
      <c r="K33" s="5">
        <f t="shared" si="2"/>
        <v>0.01686192469</v>
      </c>
      <c r="L33" s="5">
        <f t="shared" si="3"/>
        <v>-0.01232511659</v>
      </c>
      <c r="M33" s="5">
        <f t="shared" si="4"/>
        <v>-0.006426376083</v>
      </c>
      <c r="Q33" s="5"/>
    </row>
    <row r="34">
      <c r="A34" s="4">
        <f>IFERROR(__xludf.DUMMYFUNCTION("""COMPUTED_VALUE"""),44329.66666666667)</f>
        <v>44329.66667</v>
      </c>
      <c r="B34" s="1">
        <f>IFERROR(__xludf.DUMMYFUNCTION("""COMPUTED_VALUE"""),124.97)</f>
        <v>124.97</v>
      </c>
      <c r="C34" s="4">
        <f>IFERROR(__xludf.DUMMYFUNCTION("""COMPUTED_VALUE"""),44329.66666666667)</f>
        <v>44329.66667</v>
      </c>
      <c r="D34" s="1">
        <f>IFERROR(__xludf.DUMMYFUNCTION("""COMPUTED_VALUE"""),243.03)</f>
        <v>243.03</v>
      </c>
      <c r="E34" s="4">
        <f>IFERROR(__xludf.DUMMYFUNCTION("""COMPUTED_VALUE"""),44329.66666666667)</f>
        <v>44329.66667</v>
      </c>
      <c r="F34" s="1">
        <f>IFERROR(__xludf.DUMMYFUNCTION("""COMPUTED_VALUE"""),59.3)</f>
        <v>59.3</v>
      </c>
      <c r="G34" s="4">
        <f>IFERROR(__xludf.DUMMYFUNCTION("""COMPUTED_VALUE"""),44329.66666666667)</f>
        <v>44329.66667</v>
      </c>
      <c r="H34" s="1">
        <f>IFERROR(__xludf.DUMMYFUNCTION("""COMPUTED_VALUE"""),106.68)</f>
        <v>106.68</v>
      </c>
      <c r="I34" s="5">
        <f t="shared" si="1"/>
        <v>0.01984476274</v>
      </c>
      <c r="K34" s="5">
        <f t="shared" si="2"/>
        <v>0.02106735794</v>
      </c>
      <c r="L34" s="5">
        <f t="shared" si="3"/>
        <v>0.02478920742</v>
      </c>
      <c r="M34" s="5">
        <f t="shared" si="4"/>
        <v>0.02615298088</v>
      </c>
      <c r="Q34" s="5"/>
    </row>
    <row r="35">
      <c r="A35" s="4">
        <f>IFERROR(__xludf.DUMMYFUNCTION("""COMPUTED_VALUE"""),44330.66666666667)</f>
        <v>44330.66667</v>
      </c>
      <c r="B35" s="1">
        <f>IFERROR(__xludf.DUMMYFUNCTION("""COMPUTED_VALUE"""),127.45)</f>
        <v>127.45</v>
      </c>
      <c r="C35" s="4">
        <f>IFERROR(__xludf.DUMMYFUNCTION("""COMPUTED_VALUE"""),44330.66666666667)</f>
        <v>44330.66667</v>
      </c>
      <c r="D35" s="1">
        <f>IFERROR(__xludf.DUMMYFUNCTION("""COMPUTED_VALUE"""),248.15)</f>
        <v>248.15</v>
      </c>
      <c r="E35" s="4">
        <f>IFERROR(__xludf.DUMMYFUNCTION("""COMPUTED_VALUE"""),44330.66666666667)</f>
        <v>44330.66667</v>
      </c>
      <c r="F35" s="1">
        <f>IFERROR(__xludf.DUMMYFUNCTION("""COMPUTED_VALUE"""),60.77)</f>
        <v>60.77</v>
      </c>
      <c r="G35" s="4">
        <f>IFERROR(__xludf.DUMMYFUNCTION("""COMPUTED_VALUE"""),44330.66666666667)</f>
        <v>44330.66667</v>
      </c>
      <c r="H35" s="1">
        <f>IFERROR(__xludf.DUMMYFUNCTION("""COMPUTED_VALUE"""),109.47)</f>
        <v>109.47</v>
      </c>
      <c r="I35" s="5">
        <f t="shared" si="1"/>
        <v>-0.009258532758</v>
      </c>
      <c r="K35" s="5">
        <f t="shared" si="2"/>
        <v>-0.0119685674</v>
      </c>
      <c r="L35" s="5">
        <f t="shared" si="3"/>
        <v>0.02336679283</v>
      </c>
      <c r="M35" s="5">
        <f t="shared" si="4"/>
        <v>0.01224079657</v>
      </c>
      <c r="Q35" s="5"/>
    </row>
    <row r="36">
      <c r="A36" s="4">
        <f>IFERROR(__xludf.DUMMYFUNCTION("""COMPUTED_VALUE"""),44333.66666666667)</f>
        <v>44333.66667</v>
      </c>
      <c r="B36" s="1">
        <f>IFERROR(__xludf.DUMMYFUNCTION("""COMPUTED_VALUE"""),126.27)</f>
        <v>126.27</v>
      </c>
      <c r="C36" s="4">
        <f>IFERROR(__xludf.DUMMYFUNCTION("""COMPUTED_VALUE"""),44333.66666666667)</f>
        <v>44333.66667</v>
      </c>
      <c r="D36" s="1">
        <f>IFERROR(__xludf.DUMMYFUNCTION("""COMPUTED_VALUE"""),245.18)</f>
        <v>245.18</v>
      </c>
      <c r="E36" s="4">
        <f>IFERROR(__xludf.DUMMYFUNCTION("""COMPUTED_VALUE"""),44333.66666666667)</f>
        <v>44333.66667</v>
      </c>
      <c r="F36" s="1">
        <f>IFERROR(__xludf.DUMMYFUNCTION("""COMPUTED_VALUE"""),62.19)</f>
        <v>62.19</v>
      </c>
      <c r="G36" s="4">
        <f>IFERROR(__xludf.DUMMYFUNCTION("""COMPUTED_VALUE"""),44333.66666666667)</f>
        <v>44333.66667</v>
      </c>
      <c r="H36" s="1">
        <f>IFERROR(__xludf.DUMMYFUNCTION("""COMPUTED_VALUE"""),110.81)</f>
        <v>110.81</v>
      </c>
      <c r="I36" s="5">
        <f t="shared" si="1"/>
        <v>-0.01124574325</v>
      </c>
      <c r="K36" s="5">
        <f t="shared" si="2"/>
        <v>-0.008565135819</v>
      </c>
      <c r="L36" s="5">
        <f t="shared" si="3"/>
        <v>-0.02830036983</v>
      </c>
      <c r="M36" s="5">
        <f t="shared" si="4"/>
        <v>-0.04178323256</v>
      </c>
      <c r="Q36" s="5"/>
    </row>
    <row r="37">
      <c r="A37" s="4">
        <f>IFERROR(__xludf.DUMMYFUNCTION("""COMPUTED_VALUE"""),44334.66666666667)</f>
        <v>44334.66667</v>
      </c>
      <c r="B37" s="1">
        <f>IFERROR(__xludf.DUMMYFUNCTION("""COMPUTED_VALUE"""),124.85)</f>
        <v>124.85</v>
      </c>
      <c r="C37" s="4">
        <f>IFERROR(__xludf.DUMMYFUNCTION("""COMPUTED_VALUE"""),44334.66666666667)</f>
        <v>44334.66667</v>
      </c>
      <c r="D37" s="1">
        <f>IFERROR(__xludf.DUMMYFUNCTION("""COMPUTED_VALUE"""),243.08)</f>
        <v>243.08</v>
      </c>
      <c r="E37" s="4">
        <f>IFERROR(__xludf.DUMMYFUNCTION("""COMPUTED_VALUE"""),44334.66666666667)</f>
        <v>44334.66667</v>
      </c>
      <c r="F37" s="1">
        <f>IFERROR(__xludf.DUMMYFUNCTION("""COMPUTED_VALUE"""),60.43)</f>
        <v>60.43</v>
      </c>
      <c r="G37" s="4">
        <f>IFERROR(__xludf.DUMMYFUNCTION("""COMPUTED_VALUE"""),44334.66666666667)</f>
        <v>44334.66667</v>
      </c>
      <c r="H37" s="1">
        <f>IFERROR(__xludf.DUMMYFUNCTION("""COMPUTED_VALUE"""),106.18)</f>
        <v>106.18</v>
      </c>
      <c r="I37" s="5">
        <f t="shared" si="1"/>
        <v>-0.001281537845</v>
      </c>
      <c r="K37" s="5">
        <f t="shared" si="2"/>
        <v>0.0001645548791</v>
      </c>
      <c r="L37" s="5">
        <f t="shared" si="3"/>
        <v>-0.02399470462</v>
      </c>
      <c r="M37" s="5">
        <f t="shared" si="4"/>
        <v>-0.02806554907</v>
      </c>
      <c r="Q37" s="5"/>
    </row>
    <row r="38">
      <c r="A38" s="4">
        <f>IFERROR(__xludf.DUMMYFUNCTION("""COMPUTED_VALUE"""),44335.66666666667)</f>
        <v>44335.66667</v>
      </c>
      <c r="B38" s="1">
        <f>IFERROR(__xludf.DUMMYFUNCTION("""COMPUTED_VALUE"""),124.69)</f>
        <v>124.69</v>
      </c>
      <c r="C38" s="4">
        <f>IFERROR(__xludf.DUMMYFUNCTION("""COMPUTED_VALUE"""),44335.66666666667)</f>
        <v>44335.66667</v>
      </c>
      <c r="D38" s="1">
        <f>IFERROR(__xludf.DUMMYFUNCTION("""COMPUTED_VALUE"""),243.12)</f>
        <v>243.12</v>
      </c>
      <c r="E38" s="4">
        <f>IFERROR(__xludf.DUMMYFUNCTION("""COMPUTED_VALUE"""),44335.66666666667)</f>
        <v>44335.66667</v>
      </c>
      <c r="F38" s="1">
        <f>IFERROR(__xludf.DUMMYFUNCTION("""COMPUTED_VALUE"""),58.98)</f>
        <v>58.98</v>
      </c>
      <c r="G38" s="4">
        <f>IFERROR(__xludf.DUMMYFUNCTION("""COMPUTED_VALUE"""),44335.66666666667)</f>
        <v>44335.66667</v>
      </c>
      <c r="H38" s="1">
        <f>IFERROR(__xludf.DUMMYFUNCTION("""COMPUTED_VALUE"""),103.2)</f>
        <v>103.2</v>
      </c>
      <c r="I38" s="5">
        <f t="shared" si="1"/>
        <v>0.02101211003</v>
      </c>
      <c r="K38" s="5">
        <f t="shared" si="2"/>
        <v>0.01382033564</v>
      </c>
      <c r="L38" s="5">
        <f t="shared" si="3"/>
        <v>-0.002373685995</v>
      </c>
      <c r="M38" s="5">
        <f t="shared" si="4"/>
        <v>0.003488372093</v>
      </c>
      <c r="Q38" s="5"/>
    </row>
    <row r="39">
      <c r="A39" s="4">
        <f>IFERROR(__xludf.DUMMYFUNCTION("""COMPUTED_VALUE"""),44336.66666666667)</f>
        <v>44336.66667</v>
      </c>
      <c r="B39" s="1">
        <f>IFERROR(__xludf.DUMMYFUNCTION("""COMPUTED_VALUE"""),127.31)</f>
        <v>127.31</v>
      </c>
      <c r="C39" s="4">
        <f>IFERROR(__xludf.DUMMYFUNCTION("""COMPUTED_VALUE"""),44336.66666666667)</f>
        <v>44336.66667</v>
      </c>
      <c r="D39" s="1">
        <f>IFERROR(__xludf.DUMMYFUNCTION("""COMPUTED_VALUE"""),246.48)</f>
        <v>246.48</v>
      </c>
      <c r="E39" s="4">
        <f>IFERROR(__xludf.DUMMYFUNCTION("""COMPUTED_VALUE"""),44336.66666666667)</f>
        <v>44336.66667</v>
      </c>
      <c r="F39" s="1">
        <f>IFERROR(__xludf.DUMMYFUNCTION("""COMPUTED_VALUE"""),58.84)</f>
        <v>58.84</v>
      </c>
      <c r="G39" s="4">
        <f>IFERROR(__xludf.DUMMYFUNCTION("""COMPUTED_VALUE"""),44336.66666666667)</f>
        <v>44336.66667</v>
      </c>
      <c r="H39" s="1">
        <f>IFERROR(__xludf.DUMMYFUNCTION("""COMPUTED_VALUE"""),103.56)</f>
        <v>103.56</v>
      </c>
      <c r="I39" s="5">
        <f t="shared" si="1"/>
        <v>-0.01476710392</v>
      </c>
      <c r="K39" s="5">
        <f t="shared" si="2"/>
        <v>-0.005314832846</v>
      </c>
      <c r="L39" s="5">
        <f t="shared" si="3"/>
        <v>0.001359619307</v>
      </c>
      <c r="M39" s="5">
        <f t="shared" si="4"/>
        <v>0.005407493241</v>
      </c>
      <c r="Q39" s="5"/>
    </row>
    <row r="40">
      <c r="A40" s="4">
        <f>IFERROR(__xludf.DUMMYFUNCTION("""COMPUTED_VALUE"""),44337.66666666667)</f>
        <v>44337.66667</v>
      </c>
      <c r="B40" s="1">
        <f>IFERROR(__xludf.DUMMYFUNCTION("""COMPUTED_VALUE"""),125.43)</f>
        <v>125.43</v>
      </c>
      <c r="C40" s="4">
        <f>IFERROR(__xludf.DUMMYFUNCTION("""COMPUTED_VALUE"""),44337.66666666667)</f>
        <v>44337.66667</v>
      </c>
      <c r="D40" s="1">
        <f>IFERROR(__xludf.DUMMYFUNCTION("""COMPUTED_VALUE"""),245.17)</f>
        <v>245.17</v>
      </c>
      <c r="E40" s="4">
        <f>IFERROR(__xludf.DUMMYFUNCTION("""COMPUTED_VALUE"""),44337.66666666667)</f>
        <v>44337.66667</v>
      </c>
      <c r="F40" s="1">
        <f>IFERROR(__xludf.DUMMYFUNCTION("""COMPUTED_VALUE"""),58.92)</f>
        <v>58.92</v>
      </c>
      <c r="G40" s="4">
        <f>IFERROR(__xludf.DUMMYFUNCTION("""COMPUTED_VALUE"""),44337.66666666667)</f>
        <v>44337.66667</v>
      </c>
      <c r="H40" s="1">
        <f>IFERROR(__xludf.DUMMYFUNCTION("""COMPUTED_VALUE"""),104.12)</f>
        <v>104.12</v>
      </c>
      <c r="I40" s="5">
        <f t="shared" si="1"/>
        <v>0.01331419915</v>
      </c>
      <c r="K40" s="5">
        <f t="shared" si="2"/>
        <v>0.02288208182</v>
      </c>
      <c r="L40" s="5">
        <f t="shared" si="3"/>
        <v>0.0117107943</v>
      </c>
      <c r="M40" s="5">
        <f t="shared" si="4"/>
        <v>0.01421436804</v>
      </c>
      <c r="Q40" s="5"/>
    </row>
    <row r="41">
      <c r="A41" s="4">
        <f>IFERROR(__xludf.DUMMYFUNCTION("""COMPUTED_VALUE"""),44340.66666666667)</f>
        <v>44340.66667</v>
      </c>
      <c r="B41" s="1">
        <f>IFERROR(__xludf.DUMMYFUNCTION("""COMPUTED_VALUE"""),127.1)</f>
        <v>127.1</v>
      </c>
      <c r="C41" s="4">
        <f>IFERROR(__xludf.DUMMYFUNCTION("""COMPUTED_VALUE"""),44340.66666666667)</f>
        <v>44340.66667</v>
      </c>
      <c r="D41" s="1">
        <f>IFERROR(__xludf.DUMMYFUNCTION("""COMPUTED_VALUE"""),250.78)</f>
        <v>250.78</v>
      </c>
      <c r="E41" s="4">
        <f>IFERROR(__xludf.DUMMYFUNCTION("""COMPUTED_VALUE"""),44340.66666666667)</f>
        <v>44340.66667</v>
      </c>
      <c r="F41" s="1">
        <f>IFERROR(__xludf.DUMMYFUNCTION("""COMPUTED_VALUE"""),59.61)</f>
        <v>59.61</v>
      </c>
      <c r="G41" s="4">
        <f>IFERROR(__xludf.DUMMYFUNCTION("""COMPUTED_VALUE"""),44340.66666666667)</f>
        <v>44340.66667</v>
      </c>
      <c r="H41" s="1">
        <f>IFERROR(__xludf.DUMMYFUNCTION("""COMPUTED_VALUE"""),105.6)</f>
        <v>105.6</v>
      </c>
      <c r="I41" s="5">
        <f t="shared" si="1"/>
        <v>-0.001573564123</v>
      </c>
      <c r="K41" s="5">
        <f t="shared" si="2"/>
        <v>0.003748305288</v>
      </c>
      <c r="L41" s="5">
        <f t="shared" si="3"/>
        <v>-0.02264720684</v>
      </c>
      <c r="M41" s="5">
        <f t="shared" si="4"/>
        <v>-0.01638257576</v>
      </c>
      <c r="Q41" s="5"/>
    </row>
    <row r="42">
      <c r="A42" s="4">
        <f>IFERROR(__xludf.DUMMYFUNCTION("""COMPUTED_VALUE"""),44341.66666666667)</f>
        <v>44341.66667</v>
      </c>
      <c r="B42" s="1">
        <f>IFERROR(__xludf.DUMMYFUNCTION("""COMPUTED_VALUE"""),126.9)</f>
        <v>126.9</v>
      </c>
      <c r="C42" s="4">
        <f>IFERROR(__xludf.DUMMYFUNCTION("""COMPUTED_VALUE"""),44341.66666666667)</f>
        <v>44341.66667</v>
      </c>
      <c r="D42" s="1">
        <f>IFERROR(__xludf.DUMMYFUNCTION("""COMPUTED_VALUE"""),251.72)</f>
        <v>251.72</v>
      </c>
      <c r="E42" s="4">
        <f>IFERROR(__xludf.DUMMYFUNCTION("""COMPUTED_VALUE"""),44341.66666666667)</f>
        <v>44341.66667</v>
      </c>
      <c r="F42" s="1">
        <f>IFERROR(__xludf.DUMMYFUNCTION("""COMPUTED_VALUE"""),58.26)</f>
        <v>58.26</v>
      </c>
      <c r="G42" s="4">
        <f>IFERROR(__xludf.DUMMYFUNCTION("""COMPUTED_VALUE"""),44341.66666666667)</f>
        <v>44341.66667</v>
      </c>
      <c r="H42" s="1">
        <f>IFERROR(__xludf.DUMMYFUNCTION("""COMPUTED_VALUE"""),103.87)</f>
        <v>103.87</v>
      </c>
      <c r="I42" s="5">
        <f t="shared" si="1"/>
        <v>-0.0003940110323</v>
      </c>
      <c r="K42" s="5">
        <f t="shared" si="2"/>
        <v>-0.0009137136501</v>
      </c>
      <c r="L42" s="5">
        <f t="shared" si="3"/>
        <v>0.011671816</v>
      </c>
      <c r="M42" s="5">
        <f t="shared" si="4"/>
        <v>0.002406854722</v>
      </c>
      <c r="Q42" s="5"/>
    </row>
    <row r="43">
      <c r="A43" s="4">
        <f>IFERROR(__xludf.DUMMYFUNCTION("""COMPUTED_VALUE"""),44342.66666666667)</f>
        <v>44342.66667</v>
      </c>
      <c r="B43" s="1">
        <f>IFERROR(__xludf.DUMMYFUNCTION("""COMPUTED_VALUE"""),126.85)</f>
        <v>126.85</v>
      </c>
      <c r="C43" s="4">
        <f>IFERROR(__xludf.DUMMYFUNCTION("""COMPUTED_VALUE"""),44342.66666666667)</f>
        <v>44342.66667</v>
      </c>
      <c r="D43" s="1">
        <f>IFERROR(__xludf.DUMMYFUNCTION("""COMPUTED_VALUE"""),251.49)</f>
        <v>251.49</v>
      </c>
      <c r="E43" s="4">
        <f>IFERROR(__xludf.DUMMYFUNCTION("""COMPUTED_VALUE"""),44342.66666666667)</f>
        <v>44342.66667</v>
      </c>
      <c r="F43" s="1">
        <f>IFERROR(__xludf.DUMMYFUNCTION("""COMPUTED_VALUE"""),58.94)</f>
        <v>58.94</v>
      </c>
      <c r="G43" s="4">
        <f>IFERROR(__xludf.DUMMYFUNCTION("""COMPUTED_VALUE"""),44342.66666666667)</f>
        <v>44342.66667</v>
      </c>
      <c r="H43" s="1">
        <f>IFERROR(__xludf.DUMMYFUNCTION("""COMPUTED_VALUE"""),104.12)</f>
        <v>104.12</v>
      </c>
      <c r="I43" s="5">
        <f t="shared" si="1"/>
        <v>-0.01237682302</v>
      </c>
      <c r="K43" s="5">
        <f t="shared" si="2"/>
        <v>-0.008668336713</v>
      </c>
      <c r="L43" s="5">
        <f t="shared" si="3"/>
        <v>-0.006447234476</v>
      </c>
      <c r="M43" s="5">
        <f t="shared" si="4"/>
        <v>-0.01066077603</v>
      </c>
      <c r="Q43" s="5"/>
    </row>
    <row r="44">
      <c r="A44" s="4">
        <f>IFERROR(__xludf.DUMMYFUNCTION("""COMPUTED_VALUE"""),44343.66666666667)</f>
        <v>44343.66667</v>
      </c>
      <c r="B44" s="1">
        <f>IFERROR(__xludf.DUMMYFUNCTION("""COMPUTED_VALUE"""),125.28)</f>
        <v>125.28</v>
      </c>
      <c r="C44" s="4">
        <f>IFERROR(__xludf.DUMMYFUNCTION("""COMPUTED_VALUE"""),44343.66666666667)</f>
        <v>44343.66667</v>
      </c>
      <c r="D44" s="1">
        <f>IFERROR(__xludf.DUMMYFUNCTION("""COMPUTED_VALUE"""),249.31)</f>
        <v>249.31</v>
      </c>
      <c r="E44" s="4">
        <f>IFERROR(__xludf.DUMMYFUNCTION("""COMPUTED_VALUE"""),44343.66666666667)</f>
        <v>44343.66667</v>
      </c>
      <c r="F44" s="1">
        <f>IFERROR(__xludf.DUMMYFUNCTION("""COMPUTED_VALUE"""),58.56)</f>
        <v>58.56</v>
      </c>
      <c r="G44" s="4">
        <f>IFERROR(__xludf.DUMMYFUNCTION("""COMPUTED_VALUE"""),44343.66666666667)</f>
        <v>44343.66667</v>
      </c>
      <c r="H44" s="1">
        <f>IFERROR(__xludf.DUMMYFUNCTION("""COMPUTED_VALUE"""),103.01)</f>
        <v>103.01</v>
      </c>
      <c r="I44" s="5">
        <f t="shared" si="1"/>
        <v>-0.005348020434</v>
      </c>
      <c r="K44" s="5">
        <f t="shared" si="2"/>
        <v>0.001484096105</v>
      </c>
      <c r="L44" s="5">
        <f t="shared" si="3"/>
        <v>-0.003244535519</v>
      </c>
      <c r="M44" s="5">
        <f t="shared" si="4"/>
        <v>0.007572080381</v>
      </c>
      <c r="Q44" s="5"/>
    </row>
    <row r="45">
      <c r="A45" s="4">
        <f>IFERROR(__xludf.DUMMYFUNCTION("""COMPUTED_VALUE"""),44344.66666666667)</f>
        <v>44344.66667</v>
      </c>
      <c r="B45" s="1">
        <f>IFERROR(__xludf.DUMMYFUNCTION("""COMPUTED_VALUE"""),124.61)</f>
        <v>124.61</v>
      </c>
      <c r="C45" s="4">
        <f>IFERROR(__xludf.DUMMYFUNCTION("""COMPUTED_VALUE"""),44344.66666666667)</f>
        <v>44344.66667</v>
      </c>
      <c r="D45" s="1">
        <f>IFERROR(__xludf.DUMMYFUNCTION("""COMPUTED_VALUE"""),249.68)</f>
        <v>249.68</v>
      </c>
      <c r="E45" s="4">
        <f>IFERROR(__xludf.DUMMYFUNCTION("""COMPUTED_VALUE"""),44344.66666666667)</f>
        <v>44344.66667</v>
      </c>
      <c r="F45" s="1">
        <f>IFERROR(__xludf.DUMMYFUNCTION("""COMPUTED_VALUE"""),58.37)</f>
        <v>58.37</v>
      </c>
      <c r="G45" s="4">
        <f>IFERROR(__xludf.DUMMYFUNCTION("""COMPUTED_VALUE"""),44344.66666666667)</f>
        <v>44344.66667</v>
      </c>
      <c r="H45" s="1">
        <f>IFERROR(__xludf.DUMMYFUNCTION("""COMPUTED_VALUE"""),103.79)</f>
        <v>103.79</v>
      </c>
      <c r="I45" s="5">
        <f t="shared" si="1"/>
        <v>-0.002648262579</v>
      </c>
      <c r="K45" s="5">
        <f t="shared" si="2"/>
        <v>-0.009131688561</v>
      </c>
      <c r="L45" s="5">
        <f t="shared" si="3"/>
        <v>0.03580606476</v>
      </c>
      <c r="M45" s="5">
        <f t="shared" si="4"/>
        <v>0.0275556412</v>
      </c>
      <c r="Q45" s="5"/>
    </row>
    <row r="46">
      <c r="A46" s="4">
        <f>IFERROR(__xludf.DUMMYFUNCTION("""COMPUTED_VALUE"""),44348.66666666667)</f>
        <v>44348.66667</v>
      </c>
      <c r="B46" s="1">
        <f>IFERROR(__xludf.DUMMYFUNCTION("""COMPUTED_VALUE"""),124.28)</f>
        <v>124.28</v>
      </c>
      <c r="C46" s="4">
        <f>IFERROR(__xludf.DUMMYFUNCTION("""COMPUTED_VALUE"""),44348.66666666667)</f>
        <v>44348.66667</v>
      </c>
      <c r="D46" s="1">
        <f>IFERROR(__xludf.DUMMYFUNCTION("""COMPUTED_VALUE"""),247.4)</f>
        <v>247.4</v>
      </c>
      <c r="E46" s="4">
        <f>IFERROR(__xludf.DUMMYFUNCTION("""COMPUTED_VALUE"""),44348.66666666667)</f>
        <v>44348.66667</v>
      </c>
      <c r="F46" s="1">
        <f>IFERROR(__xludf.DUMMYFUNCTION("""COMPUTED_VALUE"""),60.46)</f>
        <v>60.46</v>
      </c>
      <c r="G46" s="4">
        <f>IFERROR(__xludf.DUMMYFUNCTION("""COMPUTED_VALUE"""),44348.66666666667)</f>
        <v>44348.66667</v>
      </c>
      <c r="H46" s="1">
        <f>IFERROR(__xludf.DUMMYFUNCTION("""COMPUTED_VALUE"""),106.65)</f>
        <v>106.65</v>
      </c>
      <c r="I46" s="5">
        <f t="shared" si="1"/>
        <v>0.006276150628</v>
      </c>
      <c r="K46" s="5">
        <f t="shared" si="2"/>
        <v>-0.0004042037187</v>
      </c>
      <c r="L46" s="5">
        <f t="shared" si="3"/>
        <v>0.007939133311</v>
      </c>
      <c r="M46" s="5">
        <f t="shared" si="4"/>
        <v>0.01340834505</v>
      </c>
      <c r="Q46" s="5"/>
    </row>
    <row r="47">
      <c r="A47" s="4">
        <f>IFERROR(__xludf.DUMMYFUNCTION("""COMPUTED_VALUE"""),44349.66666666667)</f>
        <v>44349.66667</v>
      </c>
      <c r="B47" s="1">
        <f>IFERROR(__xludf.DUMMYFUNCTION("""COMPUTED_VALUE"""),125.06)</f>
        <v>125.06</v>
      </c>
      <c r="C47" s="4">
        <f>IFERROR(__xludf.DUMMYFUNCTION("""COMPUTED_VALUE"""),44349.66666666667)</f>
        <v>44349.66667</v>
      </c>
      <c r="D47" s="1">
        <f>IFERROR(__xludf.DUMMYFUNCTION("""COMPUTED_VALUE"""),247.3)</f>
        <v>247.3</v>
      </c>
      <c r="E47" s="4">
        <f>IFERROR(__xludf.DUMMYFUNCTION("""COMPUTED_VALUE"""),44349.66666666667)</f>
        <v>44349.66667</v>
      </c>
      <c r="F47" s="1">
        <f>IFERROR(__xludf.DUMMYFUNCTION("""COMPUTED_VALUE"""),60.94)</f>
        <v>60.94</v>
      </c>
      <c r="G47" s="4">
        <f>IFERROR(__xludf.DUMMYFUNCTION("""COMPUTED_VALUE"""),44349.66666666667)</f>
        <v>44349.66667</v>
      </c>
      <c r="H47" s="1">
        <f>IFERROR(__xludf.DUMMYFUNCTION("""COMPUTED_VALUE"""),108.08)</f>
        <v>108.08</v>
      </c>
      <c r="I47" s="5">
        <f t="shared" si="1"/>
        <v>-0.012154166</v>
      </c>
      <c r="K47" s="5">
        <f t="shared" si="2"/>
        <v>-0.00642943793</v>
      </c>
      <c r="L47" s="5">
        <f t="shared" si="3"/>
        <v>0.003938299967</v>
      </c>
      <c r="M47" s="5">
        <f t="shared" si="4"/>
        <v>-0.004533678756</v>
      </c>
      <c r="Q47" s="5"/>
    </row>
    <row r="48">
      <c r="A48" s="4">
        <f>IFERROR(__xludf.DUMMYFUNCTION("""COMPUTED_VALUE"""),44350.66666666667)</f>
        <v>44350.66667</v>
      </c>
      <c r="B48" s="1">
        <f>IFERROR(__xludf.DUMMYFUNCTION("""COMPUTED_VALUE"""),123.54)</f>
        <v>123.54</v>
      </c>
      <c r="C48" s="4">
        <f>IFERROR(__xludf.DUMMYFUNCTION("""COMPUTED_VALUE"""),44350.66666666667)</f>
        <v>44350.66667</v>
      </c>
      <c r="D48" s="1">
        <f>IFERROR(__xludf.DUMMYFUNCTION("""COMPUTED_VALUE"""),245.71)</f>
        <v>245.71</v>
      </c>
      <c r="E48" s="4">
        <f>IFERROR(__xludf.DUMMYFUNCTION("""COMPUTED_VALUE"""),44350.66666666667)</f>
        <v>44350.66667</v>
      </c>
      <c r="F48" s="1">
        <f>IFERROR(__xludf.DUMMYFUNCTION("""COMPUTED_VALUE"""),61.18)</f>
        <v>61.18</v>
      </c>
      <c r="G48" s="4">
        <f>IFERROR(__xludf.DUMMYFUNCTION("""COMPUTED_VALUE"""),44350.66666666667)</f>
        <v>44350.66667</v>
      </c>
      <c r="H48" s="1">
        <f>IFERROR(__xludf.DUMMYFUNCTION("""COMPUTED_VALUE"""),107.59)</f>
        <v>107.59</v>
      </c>
      <c r="I48" s="5">
        <f t="shared" si="1"/>
        <v>0.01902217905</v>
      </c>
      <c r="K48" s="5">
        <f t="shared" si="2"/>
        <v>0.02067477921</v>
      </c>
      <c r="L48" s="5">
        <f t="shared" si="3"/>
        <v>0.00441320693</v>
      </c>
      <c r="M48" s="5">
        <f t="shared" si="4"/>
        <v>0.007993307928</v>
      </c>
      <c r="Q48" s="5"/>
    </row>
    <row r="49">
      <c r="A49" s="4">
        <f>IFERROR(__xludf.DUMMYFUNCTION("""COMPUTED_VALUE"""),44351.66666666667)</f>
        <v>44351.66667</v>
      </c>
      <c r="B49" s="1">
        <f>IFERROR(__xludf.DUMMYFUNCTION("""COMPUTED_VALUE"""),125.89)</f>
        <v>125.89</v>
      </c>
      <c r="C49" s="4">
        <f>IFERROR(__xludf.DUMMYFUNCTION("""COMPUTED_VALUE"""),44351.66666666667)</f>
        <v>44351.66667</v>
      </c>
      <c r="D49" s="1">
        <f>IFERROR(__xludf.DUMMYFUNCTION("""COMPUTED_VALUE"""),250.79)</f>
        <v>250.79</v>
      </c>
      <c r="E49" s="4">
        <f>IFERROR(__xludf.DUMMYFUNCTION("""COMPUTED_VALUE"""),44351.66666666667)</f>
        <v>44351.66667</v>
      </c>
      <c r="F49" s="1">
        <f>IFERROR(__xludf.DUMMYFUNCTION("""COMPUTED_VALUE"""),61.45)</f>
        <v>61.45</v>
      </c>
      <c r="G49" s="4">
        <f>IFERROR(__xludf.DUMMYFUNCTION("""COMPUTED_VALUE"""),44351.66666666667)</f>
        <v>44351.66667</v>
      </c>
      <c r="H49" s="1">
        <f>IFERROR(__xludf.DUMMYFUNCTION("""COMPUTED_VALUE"""),108.45)</f>
        <v>108.45</v>
      </c>
      <c r="I49" s="5">
        <f t="shared" si="1"/>
        <v>0.00007943442688</v>
      </c>
      <c r="K49" s="5">
        <f t="shared" si="2"/>
        <v>0.01204194745</v>
      </c>
      <c r="L49" s="5">
        <f t="shared" si="3"/>
        <v>-0.006509357201</v>
      </c>
      <c r="M49" s="5">
        <f t="shared" si="4"/>
        <v>-0.006454587367</v>
      </c>
      <c r="Q49" s="5"/>
    </row>
    <row r="50">
      <c r="A50" s="4">
        <f>IFERROR(__xludf.DUMMYFUNCTION("""COMPUTED_VALUE"""),44354.66666666667)</f>
        <v>44354.66667</v>
      </c>
      <c r="B50" s="1">
        <f>IFERROR(__xludf.DUMMYFUNCTION("""COMPUTED_VALUE"""),125.9)</f>
        <v>125.9</v>
      </c>
      <c r="C50" s="4">
        <f>IFERROR(__xludf.DUMMYFUNCTION("""COMPUTED_VALUE"""),44354.66666666667)</f>
        <v>44354.66667</v>
      </c>
      <c r="D50" s="1">
        <f>IFERROR(__xludf.DUMMYFUNCTION("""COMPUTED_VALUE"""),253.81)</f>
        <v>253.81</v>
      </c>
      <c r="E50" s="4">
        <f>IFERROR(__xludf.DUMMYFUNCTION("""COMPUTED_VALUE"""),44354.66666666667)</f>
        <v>44354.66667</v>
      </c>
      <c r="F50" s="1">
        <f>IFERROR(__xludf.DUMMYFUNCTION("""COMPUTED_VALUE"""),61.05)</f>
        <v>61.05</v>
      </c>
      <c r="G50" s="4">
        <f>IFERROR(__xludf.DUMMYFUNCTION("""COMPUTED_VALUE"""),44354.66666666667)</f>
        <v>44354.66667</v>
      </c>
      <c r="H50" s="1">
        <f>IFERROR(__xludf.DUMMYFUNCTION("""COMPUTED_VALUE"""),107.75)</f>
        <v>107.75</v>
      </c>
      <c r="I50" s="5">
        <f t="shared" si="1"/>
        <v>0.006671961875</v>
      </c>
      <c r="K50" s="5">
        <f t="shared" si="2"/>
        <v>-0.004885544305</v>
      </c>
      <c r="L50" s="5">
        <f t="shared" si="3"/>
        <v>0.01769041769</v>
      </c>
      <c r="M50" s="5">
        <f t="shared" si="4"/>
        <v>0.00909512761</v>
      </c>
      <c r="Q50" s="5"/>
    </row>
    <row r="51">
      <c r="A51" s="4">
        <f>IFERROR(__xludf.DUMMYFUNCTION("""COMPUTED_VALUE"""),44355.66666666667)</f>
        <v>44355.66667</v>
      </c>
      <c r="B51" s="1">
        <f>IFERROR(__xludf.DUMMYFUNCTION("""COMPUTED_VALUE"""),126.74)</f>
        <v>126.74</v>
      </c>
      <c r="C51" s="4">
        <f>IFERROR(__xludf.DUMMYFUNCTION("""COMPUTED_VALUE"""),44355.66666666667)</f>
        <v>44355.66667</v>
      </c>
      <c r="D51" s="1">
        <f>IFERROR(__xludf.DUMMYFUNCTION("""COMPUTED_VALUE"""),252.57)</f>
        <v>252.57</v>
      </c>
      <c r="E51" s="4">
        <f>IFERROR(__xludf.DUMMYFUNCTION("""COMPUTED_VALUE"""),44355.66666666667)</f>
        <v>44355.66667</v>
      </c>
      <c r="F51" s="1">
        <f>IFERROR(__xludf.DUMMYFUNCTION("""COMPUTED_VALUE"""),62.13)</f>
        <v>62.13</v>
      </c>
      <c r="G51" s="4">
        <f>IFERROR(__xludf.DUMMYFUNCTION("""COMPUTED_VALUE"""),44355.66666666667)</f>
        <v>44355.66667</v>
      </c>
      <c r="H51" s="1">
        <f>IFERROR(__xludf.DUMMYFUNCTION("""COMPUTED_VALUE"""),108.73)</f>
        <v>108.73</v>
      </c>
      <c r="I51" s="5">
        <f t="shared" si="1"/>
        <v>0.003077165851</v>
      </c>
      <c r="K51" s="5">
        <f t="shared" si="2"/>
        <v>0.004038484381</v>
      </c>
      <c r="L51" s="5">
        <f t="shared" si="3"/>
        <v>0.008369547723</v>
      </c>
      <c r="M51" s="5">
        <f t="shared" si="4"/>
        <v>-0.008737239032</v>
      </c>
      <c r="Q51" s="5"/>
    </row>
    <row r="52">
      <c r="A52" s="4">
        <f>IFERROR(__xludf.DUMMYFUNCTION("""COMPUTED_VALUE"""),44356.66666666667)</f>
        <v>44356.66667</v>
      </c>
      <c r="B52" s="1">
        <f>IFERROR(__xludf.DUMMYFUNCTION("""COMPUTED_VALUE"""),127.13)</f>
        <v>127.13</v>
      </c>
      <c r="C52" s="4">
        <f>IFERROR(__xludf.DUMMYFUNCTION("""COMPUTED_VALUE"""),44356.66666666667)</f>
        <v>44356.66667</v>
      </c>
      <c r="D52" s="1">
        <f>IFERROR(__xludf.DUMMYFUNCTION("""COMPUTED_VALUE"""),253.59)</f>
        <v>253.59</v>
      </c>
      <c r="E52" s="4">
        <f>IFERROR(__xludf.DUMMYFUNCTION("""COMPUTED_VALUE"""),44356.66666666667)</f>
        <v>44356.66667</v>
      </c>
      <c r="F52" s="1">
        <f>IFERROR(__xludf.DUMMYFUNCTION("""COMPUTED_VALUE"""),62.65)</f>
        <v>62.65</v>
      </c>
      <c r="G52" s="4">
        <f>IFERROR(__xludf.DUMMYFUNCTION("""COMPUTED_VALUE"""),44356.66666666667)</f>
        <v>44356.66667</v>
      </c>
      <c r="H52" s="1">
        <f>IFERROR(__xludf.DUMMYFUNCTION("""COMPUTED_VALUE"""),107.78)</f>
        <v>107.78</v>
      </c>
      <c r="I52" s="5">
        <f t="shared" si="1"/>
        <v>-0.008023283253</v>
      </c>
      <c r="K52" s="5">
        <f t="shared" si="2"/>
        <v>0.01439331204</v>
      </c>
      <c r="L52" s="5">
        <f t="shared" si="3"/>
        <v>0.001596169194</v>
      </c>
      <c r="M52" s="5">
        <f t="shared" si="4"/>
        <v>0.005845240304</v>
      </c>
      <c r="Q52" s="5"/>
    </row>
    <row r="53">
      <c r="A53" s="4">
        <f>IFERROR(__xludf.DUMMYFUNCTION("""COMPUTED_VALUE"""),44357.66666666667)</f>
        <v>44357.66667</v>
      </c>
      <c r="B53" s="1">
        <f>IFERROR(__xludf.DUMMYFUNCTION("""COMPUTED_VALUE"""),126.11)</f>
        <v>126.11</v>
      </c>
      <c r="C53" s="4">
        <f>IFERROR(__xludf.DUMMYFUNCTION("""COMPUTED_VALUE"""),44357.66666666667)</f>
        <v>44357.66667</v>
      </c>
      <c r="D53" s="1">
        <f>IFERROR(__xludf.DUMMYFUNCTION("""COMPUTED_VALUE"""),257.24)</f>
        <v>257.24</v>
      </c>
      <c r="E53" s="4">
        <f>IFERROR(__xludf.DUMMYFUNCTION("""COMPUTED_VALUE"""),44357.66666666667)</f>
        <v>44357.66667</v>
      </c>
      <c r="F53" s="1">
        <f>IFERROR(__xludf.DUMMYFUNCTION("""COMPUTED_VALUE"""),62.75)</f>
        <v>62.75</v>
      </c>
      <c r="G53" s="4">
        <f>IFERROR(__xludf.DUMMYFUNCTION("""COMPUTED_VALUE"""),44357.66666666667)</f>
        <v>44357.66667</v>
      </c>
      <c r="H53" s="1">
        <f>IFERROR(__xludf.DUMMYFUNCTION("""COMPUTED_VALUE"""),108.41)</f>
        <v>108.41</v>
      </c>
      <c r="I53" s="5">
        <f t="shared" si="1"/>
        <v>0.009832685751</v>
      </c>
      <c r="K53" s="5">
        <f t="shared" si="2"/>
        <v>0.0025268232</v>
      </c>
      <c r="L53" s="5">
        <f t="shared" si="3"/>
        <v>-0.009243027888</v>
      </c>
      <c r="M53" s="5">
        <f t="shared" si="4"/>
        <v>-0.004612120653</v>
      </c>
      <c r="Q53" s="5"/>
    </row>
    <row r="54">
      <c r="A54" s="4">
        <f>IFERROR(__xludf.DUMMYFUNCTION("""COMPUTED_VALUE"""),44358.66666666667)</f>
        <v>44358.66667</v>
      </c>
      <c r="B54" s="1">
        <f>IFERROR(__xludf.DUMMYFUNCTION("""COMPUTED_VALUE"""),127.35)</f>
        <v>127.35</v>
      </c>
      <c r="C54" s="4">
        <f>IFERROR(__xludf.DUMMYFUNCTION("""COMPUTED_VALUE"""),44358.66666666667)</f>
        <v>44358.66667</v>
      </c>
      <c r="D54" s="1">
        <f>IFERROR(__xludf.DUMMYFUNCTION("""COMPUTED_VALUE"""),257.89)</f>
        <v>257.89</v>
      </c>
      <c r="E54" s="4">
        <f>IFERROR(__xludf.DUMMYFUNCTION("""COMPUTED_VALUE"""),44358.66666666667)</f>
        <v>44358.66667</v>
      </c>
      <c r="F54" s="1">
        <f>IFERROR(__xludf.DUMMYFUNCTION("""COMPUTED_VALUE"""),62.17)</f>
        <v>62.17</v>
      </c>
      <c r="G54" s="4">
        <f>IFERROR(__xludf.DUMMYFUNCTION("""COMPUTED_VALUE"""),44358.66666666667)</f>
        <v>44358.66667</v>
      </c>
      <c r="H54" s="1">
        <f>IFERROR(__xludf.DUMMYFUNCTION("""COMPUTED_VALUE"""),107.91)</f>
        <v>107.91</v>
      </c>
      <c r="I54" s="5">
        <f t="shared" si="1"/>
        <v>0.02457793483</v>
      </c>
      <c r="K54" s="5">
        <f t="shared" si="2"/>
        <v>0.007755244484</v>
      </c>
      <c r="L54" s="5">
        <f t="shared" si="3"/>
        <v>-0.001608492842</v>
      </c>
      <c r="M54" s="5">
        <f t="shared" si="4"/>
        <v>0.0005560189046</v>
      </c>
      <c r="Q54" s="5"/>
    </row>
    <row r="55">
      <c r="A55" s="4">
        <f>IFERROR(__xludf.DUMMYFUNCTION("""COMPUTED_VALUE"""),44361.66666666667)</f>
        <v>44361.66667</v>
      </c>
      <c r="B55" s="1">
        <f>IFERROR(__xludf.DUMMYFUNCTION("""COMPUTED_VALUE"""),130.48)</f>
        <v>130.48</v>
      </c>
      <c r="C55" s="4">
        <f>IFERROR(__xludf.DUMMYFUNCTION("""COMPUTED_VALUE"""),44361.66666666667)</f>
        <v>44361.66667</v>
      </c>
      <c r="D55" s="1">
        <f>IFERROR(__xludf.DUMMYFUNCTION("""COMPUTED_VALUE"""),259.89)</f>
        <v>259.89</v>
      </c>
      <c r="E55" s="4">
        <f>IFERROR(__xludf.DUMMYFUNCTION("""COMPUTED_VALUE"""),44361.66666666667)</f>
        <v>44361.66667</v>
      </c>
      <c r="F55" s="1">
        <f>IFERROR(__xludf.DUMMYFUNCTION("""COMPUTED_VALUE"""),62.07)</f>
        <v>62.07</v>
      </c>
      <c r="G55" s="4">
        <f>IFERROR(__xludf.DUMMYFUNCTION("""COMPUTED_VALUE"""),44361.66666666667)</f>
        <v>44361.66667</v>
      </c>
      <c r="H55" s="1">
        <f>IFERROR(__xludf.DUMMYFUNCTION("""COMPUTED_VALUE"""),107.97)</f>
        <v>107.97</v>
      </c>
      <c r="I55" s="5">
        <f t="shared" si="1"/>
        <v>-0.00643776824</v>
      </c>
      <c r="K55" s="5">
        <f t="shared" si="2"/>
        <v>-0.005887106083</v>
      </c>
      <c r="L55" s="5">
        <f t="shared" si="3"/>
        <v>0.03641050427</v>
      </c>
      <c r="M55" s="5">
        <f t="shared" si="4"/>
        <v>0.02158006854</v>
      </c>
      <c r="Q55" s="5"/>
    </row>
    <row r="56">
      <c r="A56" s="4">
        <f>IFERROR(__xludf.DUMMYFUNCTION("""COMPUTED_VALUE"""),44362.66666666667)</f>
        <v>44362.66667</v>
      </c>
      <c r="B56" s="1">
        <f>IFERROR(__xludf.DUMMYFUNCTION("""COMPUTED_VALUE"""),129.64)</f>
        <v>129.64</v>
      </c>
      <c r="C56" s="4">
        <f>IFERROR(__xludf.DUMMYFUNCTION("""COMPUTED_VALUE"""),44362.66666666667)</f>
        <v>44362.66667</v>
      </c>
      <c r="D56" s="1">
        <f>IFERROR(__xludf.DUMMYFUNCTION("""COMPUTED_VALUE"""),258.36)</f>
        <v>258.36</v>
      </c>
      <c r="E56" s="4">
        <f>IFERROR(__xludf.DUMMYFUNCTION("""COMPUTED_VALUE"""),44362.66666666667)</f>
        <v>44362.66667</v>
      </c>
      <c r="F56" s="1">
        <f>IFERROR(__xludf.DUMMYFUNCTION("""COMPUTED_VALUE"""),64.33)</f>
        <v>64.33</v>
      </c>
      <c r="G56" s="4">
        <f>IFERROR(__xludf.DUMMYFUNCTION("""COMPUTED_VALUE"""),44362.66666666667)</f>
        <v>44362.66667</v>
      </c>
      <c r="H56" s="1">
        <f>IFERROR(__xludf.DUMMYFUNCTION("""COMPUTED_VALUE"""),110.3)</f>
        <v>110.3</v>
      </c>
      <c r="I56" s="5">
        <f t="shared" si="1"/>
        <v>0.003933970997</v>
      </c>
      <c r="K56" s="5">
        <f t="shared" si="2"/>
        <v>-0.003793156835</v>
      </c>
      <c r="L56" s="5">
        <f t="shared" si="3"/>
        <v>-0.003575314783</v>
      </c>
      <c r="M56" s="5">
        <f t="shared" si="4"/>
        <v>-0.005711695376</v>
      </c>
      <c r="Q56" s="5"/>
    </row>
    <row r="57">
      <c r="A57" s="4">
        <f>IFERROR(__xludf.DUMMYFUNCTION("""COMPUTED_VALUE"""),44363.66666666667)</f>
        <v>44363.66667</v>
      </c>
      <c r="B57" s="1">
        <f>IFERROR(__xludf.DUMMYFUNCTION("""COMPUTED_VALUE"""),130.15)</f>
        <v>130.15</v>
      </c>
      <c r="C57" s="4">
        <f>IFERROR(__xludf.DUMMYFUNCTION("""COMPUTED_VALUE"""),44363.66666666667)</f>
        <v>44363.66667</v>
      </c>
      <c r="D57" s="1">
        <f>IFERROR(__xludf.DUMMYFUNCTION("""COMPUTED_VALUE"""),257.38)</f>
        <v>257.38</v>
      </c>
      <c r="E57" s="4">
        <f>IFERROR(__xludf.DUMMYFUNCTION("""COMPUTED_VALUE"""),44363.66666666667)</f>
        <v>44363.66667</v>
      </c>
      <c r="F57" s="1">
        <f>IFERROR(__xludf.DUMMYFUNCTION("""COMPUTED_VALUE"""),64.1)</f>
        <v>64.1</v>
      </c>
      <c r="G57" s="4">
        <f>IFERROR(__xludf.DUMMYFUNCTION("""COMPUTED_VALUE"""),44363.66666666667)</f>
        <v>44363.66667</v>
      </c>
      <c r="H57" s="1">
        <f>IFERROR(__xludf.DUMMYFUNCTION("""COMPUTED_VALUE"""),109.67)</f>
        <v>109.67</v>
      </c>
      <c r="I57" s="5">
        <f t="shared" si="1"/>
        <v>0.01260084518</v>
      </c>
      <c r="K57" s="5">
        <f t="shared" si="2"/>
        <v>0.01367627632</v>
      </c>
      <c r="L57" s="5">
        <f t="shared" si="3"/>
        <v>-0.03291731669</v>
      </c>
      <c r="M57" s="5">
        <f t="shared" si="4"/>
        <v>-0.02370748609</v>
      </c>
      <c r="Q57" s="5"/>
    </row>
    <row r="58">
      <c r="A58" s="4">
        <f>IFERROR(__xludf.DUMMYFUNCTION("""COMPUTED_VALUE"""),44364.66666666667)</f>
        <v>44364.66667</v>
      </c>
      <c r="B58" s="1">
        <f>IFERROR(__xludf.DUMMYFUNCTION("""COMPUTED_VALUE"""),131.79)</f>
        <v>131.79</v>
      </c>
      <c r="C58" s="4">
        <f>IFERROR(__xludf.DUMMYFUNCTION("""COMPUTED_VALUE"""),44364.66666666667)</f>
        <v>44364.66667</v>
      </c>
      <c r="D58" s="1">
        <f>IFERROR(__xludf.DUMMYFUNCTION("""COMPUTED_VALUE"""),260.9)</f>
        <v>260.9</v>
      </c>
      <c r="E58" s="4">
        <f>IFERROR(__xludf.DUMMYFUNCTION("""COMPUTED_VALUE"""),44364.66666666667)</f>
        <v>44364.66667</v>
      </c>
      <c r="F58" s="1">
        <f>IFERROR(__xludf.DUMMYFUNCTION("""COMPUTED_VALUE"""),61.99)</f>
        <v>61.99</v>
      </c>
      <c r="G58" s="4">
        <f>IFERROR(__xludf.DUMMYFUNCTION("""COMPUTED_VALUE"""),44364.66666666667)</f>
        <v>44364.66667</v>
      </c>
      <c r="H58" s="1">
        <f>IFERROR(__xludf.DUMMYFUNCTION("""COMPUTED_VALUE"""),107.07)</f>
        <v>107.07</v>
      </c>
      <c r="I58" s="5">
        <f t="shared" si="1"/>
        <v>-0.01009181273</v>
      </c>
      <c r="K58" s="5">
        <f t="shared" si="2"/>
        <v>-0.00563434266</v>
      </c>
      <c r="L58" s="5">
        <f t="shared" si="3"/>
        <v>-0.02564929827</v>
      </c>
      <c r="M58" s="5">
        <f t="shared" si="4"/>
        <v>-0.03773232465</v>
      </c>
      <c r="Q58" s="5"/>
    </row>
    <row r="59">
      <c r="A59" s="4">
        <f>IFERROR(__xludf.DUMMYFUNCTION("""COMPUTED_VALUE"""),44365.66666666667)</f>
        <v>44365.66667</v>
      </c>
      <c r="B59" s="1">
        <f>IFERROR(__xludf.DUMMYFUNCTION("""COMPUTED_VALUE"""),130.46)</f>
        <v>130.46</v>
      </c>
      <c r="C59" s="4">
        <f>IFERROR(__xludf.DUMMYFUNCTION("""COMPUTED_VALUE"""),44365.66666666667)</f>
        <v>44365.66667</v>
      </c>
      <c r="D59" s="1">
        <f>IFERROR(__xludf.DUMMYFUNCTION("""COMPUTED_VALUE"""),259.43)</f>
        <v>259.43</v>
      </c>
      <c r="E59" s="4">
        <f>IFERROR(__xludf.DUMMYFUNCTION("""COMPUTED_VALUE"""),44365.66666666667)</f>
        <v>44365.66667</v>
      </c>
      <c r="F59" s="1">
        <f>IFERROR(__xludf.DUMMYFUNCTION("""COMPUTED_VALUE"""),60.4)</f>
        <v>60.4</v>
      </c>
      <c r="G59" s="4">
        <f>IFERROR(__xludf.DUMMYFUNCTION("""COMPUTED_VALUE"""),44365.66666666667)</f>
        <v>44365.66667</v>
      </c>
      <c r="H59" s="1">
        <f>IFERROR(__xludf.DUMMYFUNCTION("""COMPUTED_VALUE"""),103.03)</f>
        <v>103.03</v>
      </c>
      <c r="I59" s="5">
        <f t="shared" si="1"/>
        <v>0.0141039399</v>
      </c>
      <c r="K59" s="5">
        <f t="shared" si="2"/>
        <v>0.01233473384</v>
      </c>
      <c r="L59" s="5">
        <f t="shared" si="3"/>
        <v>0.03625827815</v>
      </c>
      <c r="M59" s="5">
        <f t="shared" si="4"/>
        <v>0.02931185092</v>
      </c>
      <c r="Q59" s="5"/>
    </row>
    <row r="60">
      <c r="A60" s="4">
        <f>IFERROR(__xludf.DUMMYFUNCTION("""COMPUTED_VALUE"""),44368.66666666667)</f>
        <v>44368.66667</v>
      </c>
      <c r="B60" s="1">
        <f>IFERROR(__xludf.DUMMYFUNCTION("""COMPUTED_VALUE"""),132.3)</f>
        <v>132.3</v>
      </c>
      <c r="C60" s="4">
        <f>IFERROR(__xludf.DUMMYFUNCTION("""COMPUTED_VALUE"""),44368.66666666667)</f>
        <v>44368.66667</v>
      </c>
      <c r="D60" s="1">
        <f>IFERROR(__xludf.DUMMYFUNCTION("""COMPUTED_VALUE"""),262.63)</f>
        <v>262.63</v>
      </c>
      <c r="E60" s="4">
        <f>IFERROR(__xludf.DUMMYFUNCTION("""COMPUTED_VALUE"""),44368.66666666667)</f>
        <v>44368.66667</v>
      </c>
      <c r="F60" s="1">
        <f>IFERROR(__xludf.DUMMYFUNCTION("""COMPUTED_VALUE"""),62.59)</f>
        <v>62.59</v>
      </c>
      <c r="G60" s="4">
        <f>IFERROR(__xludf.DUMMYFUNCTION("""COMPUTED_VALUE"""),44368.66666666667)</f>
        <v>44368.66667</v>
      </c>
      <c r="H60" s="1">
        <f>IFERROR(__xludf.DUMMYFUNCTION("""COMPUTED_VALUE"""),106.05)</f>
        <v>106.05</v>
      </c>
      <c r="I60" s="5">
        <f t="shared" si="1"/>
        <v>0.0126984127</v>
      </c>
      <c r="K60" s="5">
        <f t="shared" si="2"/>
        <v>0.01096599779</v>
      </c>
      <c r="L60" s="5">
        <f t="shared" si="3"/>
        <v>0.01917239176</v>
      </c>
      <c r="M60" s="5">
        <f t="shared" si="4"/>
        <v>0.003300330033</v>
      </c>
      <c r="Q60" s="5"/>
    </row>
    <row r="61">
      <c r="A61" s="4">
        <f>IFERROR(__xludf.DUMMYFUNCTION("""COMPUTED_VALUE"""),44369.66666666667)</f>
        <v>44369.66667</v>
      </c>
      <c r="B61" s="1">
        <f>IFERROR(__xludf.DUMMYFUNCTION("""COMPUTED_VALUE"""),133.98)</f>
        <v>133.98</v>
      </c>
      <c r="C61" s="4">
        <f>IFERROR(__xludf.DUMMYFUNCTION("""COMPUTED_VALUE"""),44369.66666666667)</f>
        <v>44369.66667</v>
      </c>
      <c r="D61" s="1">
        <f>IFERROR(__xludf.DUMMYFUNCTION("""COMPUTED_VALUE"""),265.51)</f>
        <v>265.51</v>
      </c>
      <c r="E61" s="4">
        <f>IFERROR(__xludf.DUMMYFUNCTION("""COMPUTED_VALUE"""),44369.66666666667)</f>
        <v>44369.66667</v>
      </c>
      <c r="F61" s="1">
        <f>IFERROR(__xludf.DUMMYFUNCTION("""COMPUTED_VALUE"""),63.79)</f>
        <v>63.79</v>
      </c>
      <c r="G61" s="4">
        <f>IFERROR(__xludf.DUMMYFUNCTION("""COMPUTED_VALUE"""),44369.66666666667)</f>
        <v>44369.66667</v>
      </c>
      <c r="H61" s="1">
        <f>IFERROR(__xludf.DUMMYFUNCTION("""COMPUTED_VALUE"""),106.4)</f>
        <v>106.4</v>
      </c>
      <c r="I61" s="5">
        <f t="shared" si="1"/>
        <v>-0.002089864159</v>
      </c>
      <c r="K61" s="5">
        <f t="shared" si="2"/>
        <v>-0.0009039207563</v>
      </c>
      <c r="L61" s="5">
        <f t="shared" si="3"/>
        <v>0.007367926007</v>
      </c>
      <c r="M61" s="5">
        <f t="shared" si="4"/>
        <v>-0.001221804511</v>
      </c>
      <c r="Q61" s="5"/>
    </row>
    <row r="62">
      <c r="A62" s="4">
        <f>IFERROR(__xludf.DUMMYFUNCTION("""COMPUTED_VALUE"""),44370.66666666667)</f>
        <v>44370.66667</v>
      </c>
      <c r="B62" s="1">
        <f>IFERROR(__xludf.DUMMYFUNCTION("""COMPUTED_VALUE"""),133.7)</f>
        <v>133.7</v>
      </c>
      <c r="C62" s="4">
        <f>IFERROR(__xludf.DUMMYFUNCTION("""COMPUTED_VALUE"""),44370.66666666667)</f>
        <v>44370.66667</v>
      </c>
      <c r="D62" s="1">
        <f>IFERROR(__xludf.DUMMYFUNCTION("""COMPUTED_VALUE"""),265.27)</f>
        <v>265.27</v>
      </c>
      <c r="E62" s="4">
        <f>IFERROR(__xludf.DUMMYFUNCTION("""COMPUTED_VALUE"""),44370.66666666667)</f>
        <v>44370.66667</v>
      </c>
      <c r="F62" s="1">
        <f>IFERROR(__xludf.DUMMYFUNCTION("""COMPUTED_VALUE"""),64.26)</f>
        <v>64.26</v>
      </c>
      <c r="G62" s="4">
        <f>IFERROR(__xludf.DUMMYFUNCTION("""COMPUTED_VALUE"""),44370.66666666667)</f>
        <v>44370.66667</v>
      </c>
      <c r="H62" s="1">
        <f>IFERROR(__xludf.DUMMYFUNCTION("""COMPUTED_VALUE"""),106.27)</f>
        <v>106.27</v>
      </c>
      <c r="I62" s="5">
        <f t="shared" si="1"/>
        <v>-0.002169035153</v>
      </c>
      <c r="K62" s="5">
        <f t="shared" si="2"/>
        <v>0.005353036529</v>
      </c>
      <c r="L62" s="5">
        <f t="shared" si="3"/>
        <v>0.00404606287</v>
      </c>
      <c r="M62" s="5">
        <f t="shared" si="4"/>
        <v>0.008186694269</v>
      </c>
      <c r="Q62" s="5"/>
    </row>
    <row r="63">
      <c r="A63" s="4">
        <f>IFERROR(__xludf.DUMMYFUNCTION("""COMPUTED_VALUE"""),44371.66666666667)</f>
        <v>44371.66667</v>
      </c>
      <c r="B63" s="1">
        <f>IFERROR(__xludf.DUMMYFUNCTION("""COMPUTED_VALUE"""),133.41)</f>
        <v>133.41</v>
      </c>
      <c r="C63" s="4">
        <f>IFERROR(__xludf.DUMMYFUNCTION("""COMPUTED_VALUE"""),44371.66666666667)</f>
        <v>44371.66667</v>
      </c>
      <c r="D63" s="1">
        <f>IFERROR(__xludf.DUMMYFUNCTION("""COMPUTED_VALUE"""),266.69)</f>
        <v>266.69</v>
      </c>
      <c r="E63" s="4">
        <f>IFERROR(__xludf.DUMMYFUNCTION("""COMPUTED_VALUE"""),44371.66666666667)</f>
        <v>44371.66667</v>
      </c>
      <c r="F63" s="1">
        <f>IFERROR(__xludf.DUMMYFUNCTION("""COMPUTED_VALUE"""),64.52)</f>
        <v>64.52</v>
      </c>
      <c r="G63" s="4">
        <f>IFERROR(__xludf.DUMMYFUNCTION("""COMPUTED_VALUE"""),44371.66666666667)</f>
        <v>44371.66667</v>
      </c>
      <c r="H63" s="1">
        <f>IFERROR(__xludf.DUMMYFUNCTION("""COMPUTED_VALUE"""),107.14)</f>
        <v>107.14</v>
      </c>
      <c r="I63" s="5">
        <f t="shared" si="1"/>
        <v>-0.002248706993</v>
      </c>
      <c r="K63" s="5">
        <f t="shared" si="2"/>
        <v>-0.006261952079</v>
      </c>
      <c r="L63" s="5">
        <f t="shared" si="3"/>
        <v>0.002169869808</v>
      </c>
      <c r="M63" s="5">
        <f t="shared" si="4"/>
        <v>0.001493373157</v>
      </c>
      <c r="Q63" s="5"/>
    </row>
    <row r="64">
      <c r="A64" s="4">
        <f>IFERROR(__xludf.DUMMYFUNCTION("""COMPUTED_VALUE"""),44372.66666666667)</f>
        <v>44372.66667</v>
      </c>
      <c r="B64" s="1">
        <f>IFERROR(__xludf.DUMMYFUNCTION("""COMPUTED_VALUE"""),133.11)</f>
        <v>133.11</v>
      </c>
      <c r="C64" s="4">
        <f>IFERROR(__xludf.DUMMYFUNCTION("""COMPUTED_VALUE"""),44372.66666666667)</f>
        <v>44372.66667</v>
      </c>
      <c r="D64" s="1">
        <f>IFERROR(__xludf.DUMMYFUNCTION("""COMPUTED_VALUE"""),265.02)</f>
        <v>265.02</v>
      </c>
      <c r="E64" s="4">
        <f>IFERROR(__xludf.DUMMYFUNCTION("""COMPUTED_VALUE"""),44372.66666666667)</f>
        <v>44372.66667</v>
      </c>
      <c r="F64" s="1">
        <f>IFERROR(__xludf.DUMMYFUNCTION("""COMPUTED_VALUE"""),64.66)</f>
        <v>64.66</v>
      </c>
      <c r="G64" s="4">
        <f>IFERROR(__xludf.DUMMYFUNCTION("""COMPUTED_VALUE"""),44372.66666666667)</f>
        <v>44372.66667</v>
      </c>
      <c r="H64" s="1">
        <f>IFERROR(__xludf.DUMMYFUNCTION("""COMPUTED_VALUE"""),107.3)</f>
        <v>107.3</v>
      </c>
      <c r="I64" s="5">
        <f t="shared" si="1"/>
        <v>0.01254601457</v>
      </c>
      <c r="K64" s="5">
        <f t="shared" si="2"/>
        <v>0.01396121047</v>
      </c>
      <c r="L64" s="5">
        <f t="shared" si="3"/>
        <v>-0.02551809465</v>
      </c>
      <c r="M64" s="5">
        <f t="shared" si="4"/>
        <v>-0.03084808947</v>
      </c>
      <c r="Q64" s="5"/>
    </row>
    <row r="65">
      <c r="A65" s="4">
        <f>IFERROR(__xludf.DUMMYFUNCTION("""COMPUTED_VALUE"""),44375.66666666667)</f>
        <v>44375.66667</v>
      </c>
      <c r="B65" s="1">
        <f>IFERROR(__xludf.DUMMYFUNCTION("""COMPUTED_VALUE"""),134.78)</f>
        <v>134.78</v>
      </c>
      <c r="C65" s="4">
        <f>IFERROR(__xludf.DUMMYFUNCTION("""COMPUTED_VALUE"""),44375.66666666667)</f>
        <v>44375.66667</v>
      </c>
      <c r="D65" s="1">
        <f>IFERROR(__xludf.DUMMYFUNCTION("""COMPUTED_VALUE"""),268.72)</f>
        <v>268.72</v>
      </c>
      <c r="E65" s="4">
        <f>IFERROR(__xludf.DUMMYFUNCTION("""COMPUTED_VALUE"""),44375.66666666667)</f>
        <v>44375.66667</v>
      </c>
      <c r="F65" s="1">
        <f>IFERROR(__xludf.DUMMYFUNCTION("""COMPUTED_VALUE"""),63.01)</f>
        <v>63.01</v>
      </c>
      <c r="G65" s="4">
        <f>IFERROR(__xludf.DUMMYFUNCTION("""COMPUTED_VALUE"""),44375.66666666667)</f>
        <v>44375.66667</v>
      </c>
      <c r="H65" s="1">
        <f>IFERROR(__xludf.DUMMYFUNCTION("""COMPUTED_VALUE"""),103.99)</f>
        <v>103.99</v>
      </c>
      <c r="I65" s="5">
        <f t="shared" si="1"/>
        <v>0.01150022258</v>
      </c>
      <c r="K65" s="5">
        <f t="shared" si="2"/>
        <v>0.009973206311</v>
      </c>
      <c r="L65" s="5">
        <f t="shared" si="3"/>
        <v>-0.006189493731</v>
      </c>
      <c r="M65" s="5">
        <f t="shared" si="4"/>
        <v>-0.00221175113</v>
      </c>
      <c r="Q65" s="5"/>
    </row>
    <row r="66">
      <c r="A66" s="4">
        <f>IFERROR(__xludf.DUMMYFUNCTION("""COMPUTED_VALUE"""),44376.66666666667)</f>
        <v>44376.66667</v>
      </c>
      <c r="B66" s="1">
        <f>IFERROR(__xludf.DUMMYFUNCTION("""COMPUTED_VALUE"""),136.33)</f>
        <v>136.33</v>
      </c>
      <c r="C66" s="4">
        <f>IFERROR(__xludf.DUMMYFUNCTION("""COMPUTED_VALUE"""),44376.66666666667)</f>
        <v>44376.66667</v>
      </c>
      <c r="D66" s="1">
        <f>IFERROR(__xludf.DUMMYFUNCTION("""COMPUTED_VALUE"""),271.4)</f>
        <v>271.4</v>
      </c>
      <c r="E66" s="4">
        <f>IFERROR(__xludf.DUMMYFUNCTION("""COMPUTED_VALUE"""),44376.66666666667)</f>
        <v>44376.66667</v>
      </c>
      <c r="F66" s="1">
        <f>IFERROR(__xludf.DUMMYFUNCTION("""COMPUTED_VALUE"""),62.62)</f>
        <v>62.62</v>
      </c>
      <c r="G66" s="4">
        <f>IFERROR(__xludf.DUMMYFUNCTION("""COMPUTED_VALUE"""),44376.66666666667)</f>
        <v>44376.66667</v>
      </c>
      <c r="H66" s="1">
        <f>IFERROR(__xludf.DUMMYFUNCTION("""COMPUTED_VALUE"""),103.76)</f>
        <v>103.76</v>
      </c>
      <c r="I66" s="5">
        <f t="shared" si="1"/>
        <v>0.004621139881</v>
      </c>
      <c r="K66" s="5">
        <f t="shared" si="2"/>
        <v>-0.001842299189</v>
      </c>
      <c r="L66" s="5">
        <f t="shared" si="3"/>
        <v>0.00734589588</v>
      </c>
      <c r="M66" s="5">
        <f t="shared" si="4"/>
        <v>0.009444872783</v>
      </c>
      <c r="Q66" s="5"/>
    </row>
    <row r="67">
      <c r="A67" s="4">
        <f>IFERROR(__xludf.DUMMYFUNCTION("""COMPUTED_VALUE"""),44377.66666666667)</f>
        <v>44377.66667</v>
      </c>
      <c r="B67" s="1">
        <f>IFERROR(__xludf.DUMMYFUNCTION("""COMPUTED_VALUE"""),136.96)</f>
        <v>136.96</v>
      </c>
      <c r="C67" s="4">
        <f>IFERROR(__xludf.DUMMYFUNCTION("""COMPUTED_VALUE"""),44377.66666666667)</f>
        <v>44377.66667</v>
      </c>
      <c r="D67" s="1">
        <f>IFERROR(__xludf.DUMMYFUNCTION("""COMPUTED_VALUE"""),270.9)</f>
        <v>270.9</v>
      </c>
      <c r="E67" s="4">
        <f>IFERROR(__xludf.DUMMYFUNCTION("""COMPUTED_VALUE"""),44377.66666666667)</f>
        <v>44377.66667</v>
      </c>
      <c r="F67" s="1">
        <f>IFERROR(__xludf.DUMMYFUNCTION("""COMPUTED_VALUE"""),63.08)</f>
        <v>63.08</v>
      </c>
      <c r="G67" s="4">
        <f>IFERROR(__xludf.DUMMYFUNCTION("""COMPUTED_VALUE"""),44377.66666666667)</f>
        <v>44377.66667</v>
      </c>
      <c r="H67" s="1">
        <f>IFERROR(__xludf.DUMMYFUNCTION("""COMPUTED_VALUE"""),104.74)</f>
        <v>104.74</v>
      </c>
      <c r="I67" s="5">
        <f t="shared" si="1"/>
        <v>0.002263434579</v>
      </c>
      <c r="K67" s="5">
        <f t="shared" si="2"/>
        <v>0.002583979328</v>
      </c>
      <c r="L67" s="5">
        <f t="shared" si="3"/>
        <v>0.002853519341</v>
      </c>
      <c r="M67" s="5">
        <f t="shared" si="4"/>
        <v>0.01403475272</v>
      </c>
      <c r="Q67" s="5"/>
    </row>
    <row r="68">
      <c r="A68" s="4">
        <f>IFERROR(__xludf.DUMMYFUNCTION("""COMPUTED_VALUE"""),44378.66666666667)</f>
        <v>44378.66667</v>
      </c>
      <c r="B68" s="1">
        <f>IFERROR(__xludf.DUMMYFUNCTION("""COMPUTED_VALUE"""),137.27)</f>
        <v>137.27</v>
      </c>
      <c r="C68" s="4">
        <f>IFERROR(__xludf.DUMMYFUNCTION("""COMPUTED_VALUE"""),44378.66666666667)</f>
        <v>44378.66667</v>
      </c>
      <c r="D68" s="1">
        <f>IFERROR(__xludf.DUMMYFUNCTION("""COMPUTED_VALUE"""),271.6)</f>
        <v>271.6</v>
      </c>
      <c r="E68" s="4">
        <f>IFERROR(__xludf.DUMMYFUNCTION("""COMPUTED_VALUE"""),44378.66666666667)</f>
        <v>44378.66667</v>
      </c>
      <c r="F68" s="1">
        <f>IFERROR(__xludf.DUMMYFUNCTION("""COMPUTED_VALUE"""),63.26)</f>
        <v>63.26</v>
      </c>
      <c r="G68" s="4">
        <f>IFERROR(__xludf.DUMMYFUNCTION("""COMPUTED_VALUE"""),44378.66666666667)</f>
        <v>44378.66667</v>
      </c>
      <c r="H68" s="1">
        <f>IFERROR(__xludf.DUMMYFUNCTION("""COMPUTED_VALUE"""),106.21)</f>
        <v>106.21</v>
      </c>
      <c r="I68" s="5">
        <f t="shared" si="1"/>
        <v>0.01959641582</v>
      </c>
      <c r="K68" s="5">
        <f t="shared" si="2"/>
        <v>0.02227540501</v>
      </c>
      <c r="L68" s="5">
        <f t="shared" si="3"/>
        <v>-0.001422699968</v>
      </c>
      <c r="M68" s="5">
        <f t="shared" si="4"/>
        <v>-0.001318143301</v>
      </c>
      <c r="Q68" s="5"/>
    </row>
    <row r="69">
      <c r="A69" s="4">
        <f>IFERROR(__xludf.DUMMYFUNCTION("""COMPUTED_VALUE"""),44379.66666666667)</f>
        <v>44379.66667</v>
      </c>
      <c r="B69" s="1">
        <f>IFERROR(__xludf.DUMMYFUNCTION("""COMPUTED_VALUE"""),139.96)</f>
        <v>139.96</v>
      </c>
      <c r="C69" s="4">
        <f>IFERROR(__xludf.DUMMYFUNCTION("""COMPUTED_VALUE"""),44379.66666666667)</f>
        <v>44379.66667</v>
      </c>
      <c r="D69" s="1">
        <f>IFERROR(__xludf.DUMMYFUNCTION("""COMPUTED_VALUE"""),277.65)</f>
        <v>277.65</v>
      </c>
      <c r="E69" s="4">
        <f>IFERROR(__xludf.DUMMYFUNCTION("""COMPUTED_VALUE"""),44379.66666666667)</f>
        <v>44379.66667</v>
      </c>
      <c r="F69" s="1">
        <f>IFERROR(__xludf.DUMMYFUNCTION("""COMPUTED_VALUE"""),63.17)</f>
        <v>63.17</v>
      </c>
      <c r="G69" s="4">
        <f>IFERROR(__xludf.DUMMYFUNCTION("""COMPUTED_VALUE"""),44379.66666666667)</f>
        <v>44379.66667</v>
      </c>
      <c r="H69" s="1">
        <f>IFERROR(__xludf.DUMMYFUNCTION("""COMPUTED_VALUE"""),106.07)</f>
        <v>106.07</v>
      </c>
      <c r="I69" s="5">
        <f t="shared" si="1"/>
        <v>0.014718491</v>
      </c>
      <c r="K69" s="5">
        <f t="shared" si="2"/>
        <v>0.00003601656762</v>
      </c>
      <c r="L69" s="5">
        <f t="shared" si="3"/>
        <v>-0.02849453855</v>
      </c>
      <c r="M69" s="5">
        <f t="shared" si="4"/>
        <v>-0.01960969171</v>
      </c>
      <c r="Q69" s="5"/>
    </row>
    <row r="70">
      <c r="A70" s="4">
        <f>IFERROR(__xludf.DUMMYFUNCTION("""COMPUTED_VALUE"""),44383.66666666667)</f>
        <v>44383.66667</v>
      </c>
      <c r="B70" s="1">
        <f>IFERROR(__xludf.DUMMYFUNCTION("""COMPUTED_VALUE"""),142.02)</f>
        <v>142.02</v>
      </c>
      <c r="C70" s="4">
        <f>IFERROR(__xludf.DUMMYFUNCTION("""COMPUTED_VALUE"""),44383.66666666667)</f>
        <v>44383.66667</v>
      </c>
      <c r="D70" s="1">
        <f>IFERROR(__xludf.DUMMYFUNCTION("""COMPUTED_VALUE"""),277.66)</f>
        <v>277.66</v>
      </c>
      <c r="E70" s="4">
        <f>IFERROR(__xludf.DUMMYFUNCTION("""COMPUTED_VALUE"""),44383.66666666667)</f>
        <v>44383.66667</v>
      </c>
      <c r="F70" s="1">
        <f>IFERROR(__xludf.DUMMYFUNCTION("""COMPUTED_VALUE"""),61.37)</f>
        <v>61.37</v>
      </c>
      <c r="G70" s="4">
        <f>IFERROR(__xludf.DUMMYFUNCTION("""COMPUTED_VALUE"""),44383.66666666667)</f>
        <v>44383.66667</v>
      </c>
      <c r="H70" s="1">
        <f>IFERROR(__xludf.DUMMYFUNCTION("""COMPUTED_VALUE"""),103.99)</f>
        <v>103.99</v>
      </c>
      <c r="I70" s="5">
        <f t="shared" si="1"/>
        <v>0.01795521757</v>
      </c>
      <c r="K70" s="5">
        <f t="shared" si="2"/>
        <v>0.008175466398</v>
      </c>
      <c r="L70" s="5">
        <f t="shared" si="3"/>
        <v>-0.01564282223</v>
      </c>
      <c r="M70" s="5">
        <f t="shared" si="4"/>
        <v>-0.01019328782</v>
      </c>
      <c r="Q70" s="5"/>
    </row>
    <row r="71">
      <c r="A71" s="4">
        <f>IFERROR(__xludf.DUMMYFUNCTION("""COMPUTED_VALUE"""),44384.66666666667)</f>
        <v>44384.66667</v>
      </c>
      <c r="B71" s="1">
        <f>IFERROR(__xludf.DUMMYFUNCTION("""COMPUTED_VALUE"""),144.57)</f>
        <v>144.57</v>
      </c>
      <c r="C71" s="4">
        <f>IFERROR(__xludf.DUMMYFUNCTION("""COMPUTED_VALUE"""),44384.66666666667)</f>
        <v>44384.66667</v>
      </c>
      <c r="D71" s="1">
        <f>IFERROR(__xludf.DUMMYFUNCTION("""COMPUTED_VALUE"""),279.93)</f>
        <v>279.93</v>
      </c>
      <c r="E71" s="4">
        <f>IFERROR(__xludf.DUMMYFUNCTION("""COMPUTED_VALUE"""),44384.66666666667)</f>
        <v>44384.66667</v>
      </c>
      <c r="F71" s="1">
        <f>IFERROR(__xludf.DUMMYFUNCTION("""COMPUTED_VALUE"""),60.41)</f>
        <v>60.41</v>
      </c>
      <c r="G71" s="4">
        <f>IFERROR(__xludf.DUMMYFUNCTION("""COMPUTED_VALUE"""),44384.66666666667)</f>
        <v>44384.66667</v>
      </c>
      <c r="H71" s="1">
        <f>IFERROR(__xludf.DUMMYFUNCTION("""COMPUTED_VALUE"""),102.93)</f>
        <v>102.93</v>
      </c>
      <c r="I71" s="5">
        <f t="shared" si="1"/>
        <v>-0.009199695649</v>
      </c>
      <c r="K71" s="5">
        <f t="shared" si="2"/>
        <v>-0.008966527346</v>
      </c>
      <c r="L71" s="5">
        <f t="shared" si="3"/>
        <v>-0.004469458699</v>
      </c>
      <c r="M71" s="5">
        <f t="shared" si="4"/>
        <v>-0.003206062372</v>
      </c>
      <c r="Q71" s="5"/>
    </row>
    <row r="72">
      <c r="A72" s="4">
        <f>IFERROR(__xludf.DUMMYFUNCTION("""COMPUTED_VALUE"""),44385.66666666667)</f>
        <v>44385.66667</v>
      </c>
      <c r="B72" s="1">
        <f>IFERROR(__xludf.DUMMYFUNCTION("""COMPUTED_VALUE"""),143.24)</f>
        <v>143.24</v>
      </c>
      <c r="C72" s="4">
        <f>IFERROR(__xludf.DUMMYFUNCTION("""COMPUTED_VALUE"""),44385.66666666667)</f>
        <v>44385.66667</v>
      </c>
      <c r="D72" s="1">
        <f>IFERROR(__xludf.DUMMYFUNCTION("""COMPUTED_VALUE"""),277.42)</f>
        <v>277.42</v>
      </c>
      <c r="E72" s="4">
        <f>IFERROR(__xludf.DUMMYFUNCTION("""COMPUTED_VALUE"""),44385.66666666667)</f>
        <v>44385.66667</v>
      </c>
      <c r="F72" s="1">
        <f>IFERROR(__xludf.DUMMYFUNCTION("""COMPUTED_VALUE"""),60.14)</f>
        <v>60.14</v>
      </c>
      <c r="G72" s="4">
        <f>IFERROR(__xludf.DUMMYFUNCTION("""COMPUTED_VALUE"""),44385.66666666667)</f>
        <v>44385.66667</v>
      </c>
      <c r="H72" s="1">
        <f>IFERROR(__xludf.DUMMYFUNCTION("""COMPUTED_VALUE"""),102.6)</f>
        <v>102.6</v>
      </c>
      <c r="I72" s="5">
        <f t="shared" si="1"/>
        <v>0.01305501257</v>
      </c>
      <c r="K72" s="5">
        <f t="shared" si="2"/>
        <v>0.001874414246</v>
      </c>
      <c r="L72" s="5">
        <f t="shared" si="3"/>
        <v>0.01812437645</v>
      </c>
      <c r="M72" s="5">
        <f t="shared" si="4"/>
        <v>0.01432748538</v>
      </c>
      <c r="Q72" s="5"/>
    </row>
    <row r="73">
      <c r="A73" s="4">
        <f>IFERROR(__xludf.DUMMYFUNCTION("""COMPUTED_VALUE"""),44386.66666666667)</f>
        <v>44386.66667</v>
      </c>
      <c r="B73" s="1">
        <f>IFERROR(__xludf.DUMMYFUNCTION("""COMPUTED_VALUE"""),145.11)</f>
        <v>145.11</v>
      </c>
      <c r="C73" s="4">
        <f>IFERROR(__xludf.DUMMYFUNCTION("""COMPUTED_VALUE"""),44386.66666666667)</f>
        <v>44386.66667</v>
      </c>
      <c r="D73" s="1">
        <f>IFERROR(__xludf.DUMMYFUNCTION("""COMPUTED_VALUE"""),277.94)</f>
        <v>277.94</v>
      </c>
      <c r="E73" s="4">
        <f>IFERROR(__xludf.DUMMYFUNCTION("""COMPUTED_VALUE"""),44386.66666666667)</f>
        <v>44386.66667</v>
      </c>
      <c r="F73" s="1">
        <f>IFERROR(__xludf.DUMMYFUNCTION("""COMPUTED_VALUE"""),61.23)</f>
        <v>61.23</v>
      </c>
      <c r="G73" s="4">
        <f>IFERROR(__xludf.DUMMYFUNCTION("""COMPUTED_VALUE"""),44386.66666666667)</f>
        <v>44386.66667</v>
      </c>
      <c r="H73" s="1">
        <f>IFERROR(__xludf.DUMMYFUNCTION("""COMPUTED_VALUE"""),104.07)</f>
        <v>104.07</v>
      </c>
      <c r="I73" s="5">
        <f t="shared" si="1"/>
        <v>-0.004203707532</v>
      </c>
      <c r="K73" s="5">
        <f t="shared" si="2"/>
        <v>-0.002230697273</v>
      </c>
      <c r="L73" s="5">
        <f t="shared" si="3"/>
        <v>-0.0009799118079</v>
      </c>
      <c r="M73" s="5">
        <f t="shared" si="4"/>
        <v>0.002017872586</v>
      </c>
      <c r="Q73" s="5"/>
    </row>
    <row r="74">
      <c r="A74" s="4">
        <f>IFERROR(__xludf.DUMMYFUNCTION("""COMPUTED_VALUE"""),44389.66666666667)</f>
        <v>44389.66667</v>
      </c>
      <c r="B74" s="1">
        <f>IFERROR(__xludf.DUMMYFUNCTION("""COMPUTED_VALUE"""),144.5)</f>
        <v>144.5</v>
      </c>
      <c r="C74" s="4">
        <f>IFERROR(__xludf.DUMMYFUNCTION("""COMPUTED_VALUE"""),44389.66666666667)</f>
        <v>44389.66667</v>
      </c>
      <c r="D74" s="1">
        <f>IFERROR(__xludf.DUMMYFUNCTION("""COMPUTED_VALUE"""),277.32)</f>
        <v>277.32</v>
      </c>
      <c r="E74" s="4">
        <f>IFERROR(__xludf.DUMMYFUNCTION("""COMPUTED_VALUE"""),44389.66666666667)</f>
        <v>44389.66667</v>
      </c>
      <c r="F74" s="1">
        <f>IFERROR(__xludf.DUMMYFUNCTION("""COMPUTED_VALUE"""),61.17)</f>
        <v>61.17</v>
      </c>
      <c r="G74" s="4">
        <f>IFERROR(__xludf.DUMMYFUNCTION("""COMPUTED_VALUE"""),44389.66666666667)</f>
        <v>44389.66667</v>
      </c>
      <c r="H74" s="1">
        <f>IFERROR(__xludf.DUMMYFUNCTION("""COMPUTED_VALUE"""),104.28)</f>
        <v>104.28</v>
      </c>
      <c r="I74" s="5">
        <f t="shared" si="1"/>
        <v>0.007889273356</v>
      </c>
      <c r="K74" s="5">
        <f t="shared" si="2"/>
        <v>0.01319774989</v>
      </c>
      <c r="L74" s="5">
        <f t="shared" si="3"/>
        <v>-0.004740886055</v>
      </c>
      <c r="M74" s="5">
        <f t="shared" si="4"/>
        <v>-0.003356348293</v>
      </c>
      <c r="Q74" s="5"/>
    </row>
    <row r="75">
      <c r="A75" s="4">
        <f>IFERROR(__xludf.DUMMYFUNCTION("""COMPUTED_VALUE"""),44390.66666666667)</f>
        <v>44390.66667</v>
      </c>
      <c r="B75" s="1">
        <f>IFERROR(__xludf.DUMMYFUNCTION("""COMPUTED_VALUE"""),145.64)</f>
        <v>145.64</v>
      </c>
      <c r="C75" s="4">
        <f>IFERROR(__xludf.DUMMYFUNCTION("""COMPUTED_VALUE"""),44390.66666666667)</f>
        <v>44390.66667</v>
      </c>
      <c r="D75" s="1">
        <f>IFERROR(__xludf.DUMMYFUNCTION("""COMPUTED_VALUE"""),280.98)</f>
        <v>280.98</v>
      </c>
      <c r="E75" s="4">
        <f>IFERROR(__xludf.DUMMYFUNCTION("""COMPUTED_VALUE"""),44390.66666666667)</f>
        <v>44390.66667</v>
      </c>
      <c r="F75" s="1">
        <f>IFERROR(__xludf.DUMMYFUNCTION("""COMPUTED_VALUE"""),60.88)</f>
        <v>60.88</v>
      </c>
      <c r="G75" s="4">
        <f>IFERROR(__xludf.DUMMYFUNCTION("""COMPUTED_VALUE"""),44390.66666666667)</f>
        <v>44390.66667</v>
      </c>
      <c r="H75" s="1">
        <f>IFERROR(__xludf.DUMMYFUNCTION("""COMPUTED_VALUE"""),103.93)</f>
        <v>103.93</v>
      </c>
      <c r="I75" s="5">
        <f t="shared" si="1"/>
        <v>0.02410052183</v>
      </c>
      <c r="K75" s="5">
        <f t="shared" si="2"/>
        <v>0.005445227418</v>
      </c>
      <c r="L75" s="5">
        <f t="shared" si="3"/>
        <v>-0.02217477004</v>
      </c>
      <c r="M75" s="5">
        <f t="shared" si="4"/>
        <v>-0.0188588473</v>
      </c>
      <c r="Q75" s="5"/>
    </row>
    <row r="76">
      <c r="A76" s="4">
        <f>IFERROR(__xludf.DUMMYFUNCTION("""COMPUTED_VALUE"""),44391.66666666667)</f>
        <v>44391.66667</v>
      </c>
      <c r="B76" s="1">
        <f>IFERROR(__xludf.DUMMYFUNCTION("""COMPUTED_VALUE"""),149.15)</f>
        <v>149.15</v>
      </c>
      <c r="C76" s="4">
        <f>IFERROR(__xludf.DUMMYFUNCTION("""COMPUTED_VALUE"""),44391.66666666667)</f>
        <v>44391.66667</v>
      </c>
      <c r="D76" s="1">
        <f>IFERROR(__xludf.DUMMYFUNCTION("""COMPUTED_VALUE"""),282.51)</f>
        <v>282.51</v>
      </c>
      <c r="E76" s="4">
        <f>IFERROR(__xludf.DUMMYFUNCTION("""COMPUTED_VALUE"""),44391.66666666667)</f>
        <v>44391.66667</v>
      </c>
      <c r="F76" s="1">
        <f>IFERROR(__xludf.DUMMYFUNCTION("""COMPUTED_VALUE"""),59.53)</f>
        <v>59.53</v>
      </c>
      <c r="G76" s="4">
        <f>IFERROR(__xludf.DUMMYFUNCTION("""COMPUTED_VALUE"""),44391.66666666667)</f>
        <v>44391.66667</v>
      </c>
      <c r="H76" s="1">
        <f>IFERROR(__xludf.DUMMYFUNCTION("""COMPUTED_VALUE"""),101.97)</f>
        <v>101.97</v>
      </c>
      <c r="I76" s="5">
        <f t="shared" si="1"/>
        <v>-0.004492122025</v>
      </c>
      <c r="K76" s="5">
        <f t="shared" si="2"/>
        <v>-0.005238752611</v>
      </c>
      <c r="L76" s="5">
        <f t="shared" si="3"/>
        <v>-0.009742986729</v>
      </c>
      <c r="M76" s="5">
        <f t="shared" si="4"/>
        <v>-0.006570559969</v>
      </c>
      <c r="Q76" s="5"/>
    </row>
    <row r="77">
      <c r="A77" s="4">
        <f>IFERROR(__xludf.DUMMYFUNCTION("""COMPUTED_VALUE"""),44392.66666666667)</f>
        <v>44392.66667</v>
      </c>
      <c r="B77" s="1">
        <f>IFERROR(__xludf.DUMMYFUNCTION("""COMPUTED_VALUE"""),148.48)</f>
        <v>148.48</v>
      </c>
      <c r="C77" s="4">
        <f>IFERROR(__xludf.DUMMYFUNCTION("""COMPUTED_VALUE"""),44392.66666666667)</f>
        <v>44392.66667</v>
      </c>
      <c r="D77" s="1">
        <f>IFERROR(__xludf.DUMMYFUNCTION("""COMPUTED_VALUE"""),281.03)</f>
        <v>281.03</v>
      </c>
      <c r="E77" s="4">
        <f>IFERROR(__xludf.DUMMYFUNCTION("""COMPUTED_VALUE"""),44392.66666666667)</f>
        <v>44392.66667</v>
      </c>
      <c r="F77" s="1">
        <f>IFERROR(__xludf.DUMMYFUNCTION("""COMPUTED_VALUE"""),58.95)</f>
        <v>58.95</v>
      </c>
      <c r="G77" s="4">
        <f>IFERROR(__xludf.DUMMYFUNCTION("""COMPUTED_VALUE"""),44392.66666666667)</f>
        <v>44392.66667</v>
      </c>
      <c r="H77" s="1">
        <f>IFERROR(__xludf.DUMMYFUNCTION("""COMPUTED_VALUE"""),101.3)</f>
        <v>101.3</v>
      </c>
      <c r="I77" s="5">
        <f t="shared" si="1"/>
        <v>-0.01407596983</v>
      </c>
      <c r="K77" s="5">
        <f t="shared" si="2"/>
        <v>-0.0009963349109</v>
      </c>
      <c r="L77" s="5">
        <f t="shared" si="3"/>
        <v>-0.02765055131</v>
      </c>
      <c r="M77" s="5">
        <f t="shared" si="4"/>
        <v>-0.02645607108</v>
      </c>
      <c r="Q77" s="5"/>
    </row>
    <row r="78">
      <c r="A78" s="4">
        <f>IFERROR(__xludf.DUMMYFUNCTION("""COMPUTED_VALUE"""),44393.66666666667)</f>
        <v>44393.66667</v>
      </c>
      <c r="B78" s="1">
        <f>IFERROR(__xludf.DUMMYFUNCTION("""COMPUTED_VALUE"""),146.39)</f>
        <v>146.39</v>
      </c>
      <c r="C78" s="4">
        <f>IFERROR(__xludf.DUMMYFUNCTION("""COMPUTED_VALUE"""),44393.66666666667)</f>
        <v>44393.66667</v>
      </c>
      <c r="D78" s="1">
        <f>IFERROR(__xludf.DUMMYFUNCTION("""COMPUTED_VALUE"""),280.75)</f>
        <v>280.75</v>
      </c>
      <c r="E78" s="4">
        <f>IFERROR(__xludf.DUMMYFUNCTION("""COMPUTED_VALUE"""),44393.66666666667)</f>
        <v>44393.66667</v>
      </c>
      <c r="F78" s="1">
        <f>IFERROR(__xludf.DUMMYFUNCTION("""COMPUTED_VALUE"""),57.32)</f>
        <v>57.32</v>
      </c>
      <c r="G78" s="4">
        <f>IFERROR(__xludf.DUMMYFUNCTION("""COMPUTED_VALUE"""),44393.66666666667)</f>
        <v>44393.66667</v>
      </c>
      <c r="H78" s="1">
        <f>IFERROR(__xludf.DUMMYFUNCTION("""COMPUTED_VALUE"""),98.62)</f>
        <v>98.62</v>
      </c>
      <c r="I78" s="5">
        <f t="shared" si="1"/>
        <v>-0.02691440672</v>
      </c>
      <c r="K78" s="5">
        <f t="shared" si="2"/>
        <v>-0.01332146037</v>
      </c>
      <c r="L78" s="5">
        <f t="shared" si="3"/>
        <v>-0.03436845778</v>
      </c>
      <c r="M78" s="5">
        <f t="shared" si="4"/>
        <v>-0.02697221659</v>
      </c>
      <c r="Q78" s="5"/>
    </row>
    <row r="79">
      <c r="A79" s="4">
        <f>IFERROR(__xludf.DUMMYFUNCTION("""COMPUTED_VALUE"""),44396.66666666667)</f>
        <v>44396.66667</v>
      </c>
      <c r="B79" s="1">
        <f>IFERROR(__xludf.DUMMYFUNCTION("""COMPUTED_VALUE"""),142.45)</f>
        <v>142.45</v>
      </c>
      <c r="C79" s="4">
        <f>IFERROR(__xludf.DUMMYFUNCTION("""COMPUTED_VALUE"""),44396.66666666667)</f>
        <v>44396.66667</v>
      </c>
      <c r="D79" s="1">
        <f>IFERROR(__xludf.DUMMYFUNCTION("""COMPUTED_VALUE"""),277.01)</f>
        <v>277.01</v>
      </c>
      <c r="E79" s="4">
        <f>IFERROR(__xludf.DUMMYFUNCTION("""COMPUTED_VALUE"""),44396.66666666667)</f>
        <v>44396.66667</v>
      </c>
      <c r="F79" s="1">
        <f>IFERROR(__xludf.DUMMYFUNCTION("""COMPUTED_VALUE"""),55.35)</f>
        <v>55.35</v>
      </c>
      <c r="G79" s="4">
        <f>IFERROR(__xludf.DUMMYFUNCTION("""COMPUTED_VALUE"""),44396.66666666667)</f>
        <v>44396.66667</v>
      </c>
      <c r="H79" s="1">
        <f>IFERROR(__xludf.DUMMYFUNCTION("""COMPUTED_VALUE"""),95.96)</f>
        <v>95.96</v>
      </c>
      <c r="I79" s="5">
        <f t="shared" si="1"/>
        <v>0.02597402597</v>
      </c>
      <c r="K79" s="5">
        <f t="shared" si="2"/>
        <v>0.008339049132</v>
      </c>
      <c r="L79" s="5">
        <f t="shared" si="3"/>
        <v>0.01102077687</v>
      </c>
      <c r="M79" s="5">
        <f t="shared" si="4"/>
        <v>0.00593997499</v>
      </c>
      <c r="Q79" s="5"/>
    </row>
    <row r="80">
      <c r="A80" s="4">
        <f>IFERROR(__xludf.DUMMYFUNCTION("""COMPUTED_VALUE"""),44397.66666666667)</f>
        <v>44397.66667</v>
      </c>
      <c r="B80" s="1">
        <f>IFERROR(__xludf.DUMMYFUNCTION("""COMPUTED_VALUE"""),146.15)</f>
        <v>146.15</v>
      </c>
      <c r="C80" s="4">
        <f>IFERROR(__xludf.DUMMYFUNCTION("""COMPUTED_VALUE"""),44397.66666666667)</f>
        <v>44397.66667</v>
      </c>
      <c r="D80" s="1">
        <f>IFERROR(__xludf.DUMMYFUNCTION("""COMPUTED_VALUE"""),279.32)</f>
        <v>279.32</v>
      </c>
      <c r="E80" s="4">
        <f>IFERROR(__xludf.DUMMYFUNCTION("""COMPUTED_VALUE"""),44397.66666666667)</f>
        <v>44397.66667</v>
      </c>
      <c r="F80" s="1">
        <f>IFERROR(__xludf.DUMMYFUNCTION("""COMPUTED_VALUE"""),55.96)</f>
        <v>55.96</v>
      </c>
      <c r="G80" s="4">
        <f>IFERROR(__xludf.DUMMYFUNCTION("""COMPUTED_VALUE"""),44397.66666666667)</f>
        <v>44397.66667</v>
      </c>
      <c r="H80" s="1">
        <f>IFERROR(__xludf.DUMMYFUNCTION("""COMPUTED_VALUE"""),96.53)</f>
        <v>96.53</v>
      </c>
      <c r="I80" s="5">
        <f t="shared" si="1"/>
        <v>-0.005131713992</v>
      </c>
      <c r="K80" s="5">
        <f t="shared" si="2"/>
        <v>0.007446656165</v>
      </c>
      <c r="L80" s="5">
        <f t="shared" si="3"/>
        <v>0.03216583274</v>
      </c>
      <c r="M80" s="5">
        <f t="shared" si="4"/>
        <v>0.0340826686</v>
      </c>
      <c r="Q80" s="5"/>
    </row>
    <row r="81">
      <c r="A81" s="4">
        <f>IFERROR(__xludf.DUMMYFUNCTION("""COMPUTED_VALUE"""),44398.66666666667)</f>
        <v>44398.66667</v>
      </c>
      <c r="B81" s="1">
        <f>IFERROR(__xludf.DUMMYFUNCTION("""COMPUTED_VALUE"""),145.4)</f>
        <v>145.4</v>
      </c>
      <c r="C81" s="4">
        <f>IFERROR(__xludf.DUMMYFUNCTION("""COMPUTED_VALUE"""),44398.66666666667)</f>
        <v>44398.66667</v>
      </c>
      <c r="D81" s="1">
        <f>IFERROR(__xludf.DUMMYFUNCTION("""COMPUTED_VALUE"""),281.4)</f>
        <v>281.4</v>
      </c>
      <c r="E81" s="4">
        <f>IFERROR(__xludf.DUMMYFUNCTION("""COMPUTED_VALUE"""),44398.66666666667)</f>
        <v>44398.66667</v>
      </c>
      <c r="F81" s="1">
        <f>IFERROR(__xludf.DUMMYFUNCTION("""COMPUTED_VALUE"""),57.76)</f>
        <v>57.76</v>
      </c>
      <c r="G81" s="4">
        <f>IFERROR(__xludf.DUMMYFUNCTION("""COMPUTED_VALUE"""),44398.66666666667)</f>
        <v>44398.66667</v>
      </c>
      <c r="H81" s="1">
        <f>IFERROR(__xludf.DUMMYFUNCTION("""COMPUTED_VALUE"""),99.82)</f>
        <v>99.82</v>
      </c>
      <c r="I81" s="5">
        <f t="shared" si="1"/>
        <v>0.009628610729</v>
      </c>
      <c r="K81" s="5">
        <f t="shared" si="2"/>
        <v>0.01684434968</v>
      </c>
      <c r="L81" s="5">
        <f t="shared" si="3"/>
        <v>-0.0112534626</v>
      </c>
      <c r="M81" s="5">
        <f t="shared" si="4"/>
        <v>-0.01001803246</v>
      </c>
      <c r="Q81" s="5"/>
    </row>
    <row r="82">
      <c r="A82" s="4">
        <f>IFERROR(__xludf.DUMMYFUNCTION("""COMPUTED_VALUE"""),44399.66666666667)</f>
        <v>44399.66667</v>
      </c>
      <c r="B82" s="1">
        <f>IFERROR(__xludf.DUMMYFUNCTION("""COMPUTED_VALUE"""),146.8)</f>
        <v>146.8</v>
      </c>
      <c r="C82" s="4">
        <f>IFERROR(__xludf.DUMMYFUNCTION("""COMPUTED_VALUE"""),44399.66666666667)</f>
        <v>44399.66667</v>
      </c>
      <c r="D82" s="1">
        <f>IFERROR(__xludf.DUMMYFUNCTION("""COMPUTED_VALUE"""),286.14)</f>
        <v>286.14</v>
      </c>
      <c r="E82" s="4">
        <f>IFERROR(__xludf.DUMMYFUNCTION("""COMPUTED_VALUE"""),44399.66666666667)</f>
        <v>44399.66667</v>
      </c>
      <c r="F82" s="1">
        <f>IFERROR(__xludf.DUMMYFUNCTION("""COMPUTED_VALUE"""),57.11)</f>
        <v>57.11</v>
      </c>
      <c r="G82" s="4">
        <f>IFERROR(__xludf.DUMMYFUNCTION("""COMPUTED_VALUE"""),44399.66666666667)</f>
        <v>44399.66667</v>
      </c>
      <c r="H82" s="1">
        <f>IFERROR(__xludf.DUMMYFUNCTION("""COMPUTED_VALUE"""),98.82)</f>
        <v>98.82</v>
      </c>
      <c r="I82" s="5">
        <f t="shared" si="1"/>
        <v>0.01198910082</v>
      </c>
      <c r="K82" s="5">
        <f t="shared" si="2"/>
        <v>0.01233661844</v>
      </c>
      <c r="L82" s="5">
        <f t="shared" si="3"/>
        <v>-0.00122570478</v>
      </c>
      <c r="M82" s="5">
        <f t="shared" si="4"/>
        <v>0.0004047763611</v>
      </c>
      <c r="Q82" s="5"/>
    </row>
    <row r="83">
      <c r="A83" s="4">
        <f>IFERROR(__xludf.DUMMYFUNCTION("""COMPUTED_VALUE"""),44400.66666666667)</f>
        <v>44400.66667</v>
      </c>
      <c r="B83" s="1">
        <f>IFERROR(__xludf.DUMMYFUNCTION("""COMPUTED_VALUE"""),148.56)</f>
        <v>148.56</v>
      </c>
      <c r="C83" s="4">
        <f>IFERROR(__xludf.DUMMYFUNCTION("""COMPUTED_VALUE"""),44400.66666666667)</f>
        <v>44400.66667</v>
      </c>
      <c r="D83" s="1">
        <f>IFERROR(__xludf.DUMMYFUNCTION("""COMPUTED_VALUE"""),289.67)</f>
        <v>289.67</v>
      </c>
      <c r="E83" s="4">
        <f>IFERROR(__xludf.DUMMYFUNCTION("""COMPUTED_VALUE"""),44400.66666666667)</f>
        <v>44400.66667</v>
      </c>
      <c r="F83" s="1">
        <f>IFERROR(__xludf.DUMMYFUNCTION("""COMPUTED_VALUE"""),57.04)</f>
        <v>57.04</v>
      </c>
      <c r="G83" s="4">
        <f>IFERROR(__xludf.DUMMYFUNCTION("""COMPUTED_VALUE"""),44400.66666666667)</f>
        <v>44400.66667</v>
      </c>
      <c r="H83" s="1">
        <f>IFERROR(__xludf.DUMMYFUNCTION("""COMPUTED_VALUE"""),98.86)</f>
        <v>98.86</v>
      </c>
      <c r="I83" s="5">
        <f t="shared" si="1"/>
        <v>0.002894453419</v>
      </c>
      <c r="K83" s="5">
        <f t="shared" si="2"/>
        <v>-0.002140366624</v>
      </c>
      <c r="L83" s="5">
        <f t="shared" si="3"/>
        <v>0.0252454418</v>
      </c>
      <c r="M83" s="5">
        <f t="shared" si="4"/>
        <v>0.02114100749</v>
      </c>
      <c r="Q83" s="5"/>
    </row>
    <row r="84">
      <c r="A84" s="4">
        <f>IFERROR(__xludf.DUMMYFUNCTION("""COMPUTED_VALUE"""),44403.66666666667)</f>
        <v>44403.66667</v>
      </c>
      <c r="B84" s="1">
        <f>IFERROR(__xludf.DUMMYFUNCTION("""COMPUTED_VALUE"""),148.99)</f>
        <v>148.99</v>
      </c>
      <c r="C84" s="4">
        <f>IFERROR(__xludf.DUMMYFUNCTION("""COMPUTED_VALUE"""),44403.66666666667)</f>
        <v>44403.66667</v>
      </c>
      <c r="D84" s="1">
        <f>IFERROR(__xludf.DUMMYFUNCTION("""COMPUTED_VALUE"""),289.05)</f>
        <v>289.05</v>
      </c>
      <c r="E84" s="4">
        <f>IFERROR(__xludf.DUMMYFUNCTION("""COMPUTED_VALUE"""),44403.66666666667)</f>
        <v>44403.66667</v>
      </c>
      <c r="F84" s="1">
        <f>IFERROR(__xludf.DUMMYFUNCTION("""COMPUTED_VALUE"""),58.48)</f>
        <v>58.48</v>
      </c>
      <c r="G84" s="4">
        <f>IFERROR(__xludf.DUMMYFUNCTION("""COMPUTED_VALUE"""),44403.66666666667)</f>
        <v>44403.66667</v>
      </c>
      <c r="H84" s="1">
        <f>IFERROR(__xludf.DUMMYFUNCTION("""COMPUTED_VALUE"""),100.95)</f>
        <v>100.95</v>
      </c>
      <c r="I84" s="5">
        <f t="shared" si="1"/>
        <v>-0.01490032888</v>
      </c>
      <c r="K84" s="5">
        <f t="shared" si="2"/>
        <v>-0.008683618751</v>
      </c>
      <c r="L84" s="5">
        <f t="shared" si="3"/>
        <v>-0.01111491108</v>
      </c>
      <c r="M84" s="5">
        <f t="shared" si="4"/>
        <v>-0.003368003962</v>
      </c>
      <c r="Q84" s="5"/>
    </row>
    <row r="85">
      <c r="A85" s="4">
        <f>IFERROR(__xludf.DUMMYFUNCTION("""COMPUTED_VALUE"""),44404.66666666667)</f>
        <v>44404.66667</v>
      </c>
      <c r="B85" s="1">
        <f>IFERROR(__xludf.DUMMYFUNCTION("""COMPUTED_VALUE"""),146.77)</f>
        <v>146.77</v>
      </c>
      <c r="C85" s="4">
        <f>IFERROR(__xludf.DUMMYFUNCTION("""COMPUTED_VALUE"""),44404.66666666667)</f>
        <v>44404.66667</v>
      </c>
      <c r="D85" s="1">
        <f>IFERROR(__xludf.DUMMYFUNCTION("""COMPUTED_VALUE"""),286.54)</f>
        <v>286.54</v>
      </c>
      <c r="E85" s="4">
        <f>IFERROR(__xludf.DUMMYFUNCTION("""COMPUTED_VALUE"""),44404.66666666667)</f>
        <v>44404.66667</v>
      </c>
      <c r="F85" s="1">
        <f>IFERROR(__xludf.DUMMYFUNCTION("""COMPUTED_VALUE"""),57.83)</f>
        <v>57.83</v>
      </c>
      <c r="G85" s="4">
        <f>IFERROR(__xludf.DUMMYFUNCTION("""COMPUTED_VALUE"""),44404.66666666667)</f>
        <v>44404.66667</v>
      </c>
      <c r="H85" s="1">
        <f>IFERROR(__xludf.DUMMYFUNCTION("""COMPUTED_VALUE"""),100.61)</f>
        <v>100.61</v>
      </c>
      <c r="I85" s="5">
        <f t="shared" si="1"/>
        <v>-0.01219595285</v>
      </c>
      <c r="K85" s="5">
        <f t="shared" si="2"/>
        <v>-0.001116772527</v>
      </c>
      <c r="L85" s="5">
        <f t="shared" si="3"/>
        <v>0.006743904548</v>
      </c>
      <c r="M85" s="5">
        <f t="shared" si="4"/>
        <v>0.005665440811</v>
      </c>
      <c r="Q85" s="5"/>
    </row>
    <row r="86">
      <c r="A86" s="4">
        <f>IFERROR(__xludf.DUMMYFUNCTION("""COMPUTED_VALUE"""),44405.66666666667)</f>
        <v>44405.66667</v>
      </c>
      <c r="B86" s="1">
        <f>IFERROR(__xludf.DUMMYFUNCTION("""COMPUTED_VALUE"""),144.98)</f>
        <v>144.98</v>
      </c>
      <c r="C86" s="4">
        <f>IFERROR(__xludf.DUMMYFUNCTION("""COMPUTED_VALUE"""),44405.66666666667)</f>
        <v>44405.66667</v>
      </c>
      <c r="D86" s="1">
        <f>IFERROR(__xludf.DUMMYFUNCTION("""COMPUTED_VALUE"""),286.22)</f>
        <v>286.22</v>
      </c>
      <c r="E86" s="4">
        <f>IFERROR(__xludf.DUMMYFUNCTION("""COMPUTED_VALUE"""),44405.66666666667)</f>
        <v>44405.66667</v>
      </c>
      <c r="F86" s="1">
        <f>IFERROR(__xludf.DUMMYFUNCTION("""COMPUTED_VALUE"""),58.22)</f>
        <v>58.22</v>
      </c>
      <c r="G86" s="4">
        <f>IFERROR(__xludf.DUMMYFUNCTION("""COMPUTED_VALUE"""),44405.66666666667)</f>
        <v>44405.66667</v>
      </c>
      <c r="H86" s="1">
        <f>IFERROR(__xludf.DUMMYFUNCTION("""COMPUTED_VALUE"""),101.18)</f>
        <v>101.18</v>
      </c>
      <c r="I86" s="5">
        <f t="shared" si="1"/>
        <v>0.004552352049</v>
      </c>
      <c r="K86" s="5">
        <f t="shared" si="2"/>
        <v>0.0009782684648</v>
      </c>
      <c r="L86" s="5">
        <f t="shared" si="3"/>
        <v>0.01219512195</v>
      </c>
      <c r="M86" s="5">
        <f t="shared" si="4"/>
        <v>0.01373789286</v>
      </c>
      <c r="Q86" s="5"/>
    </row>
    <row r="87">
      <c r="A87" s="4">
        <f>IFERROR(__xludf.DUMMYFUNCTION("""COMPUTED_VALUE"""),44406.66666666667)</f>
        <v>44406.66667</v>
      </c>
      <c r="B87" s="1">
        <f>IFERROR(__xludf.DUMMYFUNCTION("""COMPUTED_VALUE"""),145.64)</f>
        <v>145.64</v>
      </c>
      <c r="C87" s="4">
        <f>IFERROR(__xludf.DUMMYFUNCTION("""COMPUTED_VALUE"""),44406.66666666667)</f>
        <v>44406.66667</v>
      </c>
      <c r="D87" s="1">
        <f>IFERROR(__xludf.DUMMYFUNCTION("""COMPUTED_VALUE"""),286.5)</f>
        <v>286.5</v>
      </c>
      <c r="E87" s="4">
        <f>IFERROR(__xludf.DUMMYFUNCTION("""COMPUTED_VALUE"""),44406.66666666667)</f>
        <v>44406.66667</v>
      </c>
      <c r="F87" s="1">
        <f>IFERROR(__xludf.DUMMYFUNCTION("""COMPUTED_VALUE"""),58.93)</f>
        <v>58.93</v>
      </c>
      <c r="G87" s="4">
        <f>IFERROR(__xludf.DUMMYFUNCTION("""COMPUTED_VALUE"""),44406.66666666667)</f>
        <v>44406.66667</v>
      </c>
      <c r="H87" s="1">
        <f>IFERROR(__xludf.DUMMYFUNCTION("""COMPUTED_VALUE"""),102.57)</f>
        <v>102.57</v>
      </c>
      <c r="I87" s="5">
        <f t="shared" si="1"/>
        <v>0.001510574018</v>
      </c>
      <c r="K87" s="5">
        <f t="shared" si="2"/>
        <v>-0.00554973822</v>
      </c>
      <c r="L87" s="5">
        <f t="shared" si="3"/>
        <v>-0.02307822841</v>
      </c>
      <c r="M87" s="5">
        <f t="shared" si="4"/>
        <v>-0.007409573949</v>
      </c>
      <c r="Q87" s="5"/>
    </row>
    <row r="88">
      <c r="A88" s="4">
        <f>IFERROR(__xludf.DUMMYFUNCTION("""COMPUTED_VALUE"""),44407.66666666667)</f>
        <v>44407.66667</v>
      </c>
      <c r="B88" s="1">
        <f>IFERROR(__xludf.DUMMYFUNCTION("""COMPUTED_VALUE"""),145.86)</f>
        <v>145.86</v>
      </c>
      <c r="C88" s="4">
        <f>IFERROR(__xludf.DUMMYFUNCTION("""COMPUTED_VALUE"""),44407.66666666667)</f>
        <v>44407.66667</v>
      </c>
      <c r="D88" s="1">
        <f>IFERROR(__xludf.DUMMYFUNCTION("""COMPUTED_VALUE"""),284.91)</f>
        <v>284.91</v>
      </c>
      <c r="E88" s="4">
        <f>IFERROR(__xludf.DUMMYFUNCTION("""COMPUTED_VALUE"""),44407.66666666667)</f>
        <v>44407.66667</v>
      </c>
      <c r="F88" s="1">
        <f>IFERROR(__xludf.DUMMYFUNCTION("""COMPUTED_VALUE"""),57.57)</f>
        <v>57.57</v>
      </c>
      <c r="G88" s="4">
        <f>IFERROR(__xludf.DUMMYFUNCTION("""COMPUTED_VALUE"""),44407.66666666667)</f>
        <v>44407.66667</v>
      </c>
      <c r="H88" s="1">
        <f>IFERROR(__xludf.DUMMYFUNCTION("""COMPUTED_VALUE"""),101.81)</f>
        <v>101.81</v>
      </c>
      <c r="I88" s="5">
        <f t="shared" si="1"/>
        <v>-0.002331002331</v>
      </c>
      <c r="K88" s="5">
        <f t="shared" si="2"/>
        <v>-0.0003158892282</v>
      </c>
      <c r="L88" s="5">
        <f t="shared" si="3"/>
        <v>0.0001737015807</v>
      </c>
      <c r="M88" s="5">
        <f t="shared" si="4"/>
        <v>-0.001767999214</v>
      </c>
      <c r="Q88" s="5"/>
    </row>
    <row r="89">
      <c r="A89" s="4">
        <f>IFERROR(__xludf.DUMMYFUNCTION("""COMPUTED_VALUE"""),44410.66666666667)</f>
        <v>44410.66667</v>
      </c>
      <c r="B89" s="1">
        <f>IFERROR(__xludf.DUMMYFUNCTION("""COMPUTED_VALUE"""),145.52)</f>
        <v>145.52</v>
      </c>
      <c r="C89" s="4">
        <f>IFERROR(__xludf.DUMMYFUNCTION("""COMPUTED_VALUE"""),44410.66666666667)</f>
        <v>44410.66667</v>
      </c>
      <c r="D89" s="1">
        <f>IFERROR(__xludf.DUMMYFUNCTION("""COMPUTED_VALUE"""),284.82)</f>
        <v>284.82</v>
      </c>
      <c r="E89" s="4">
        <f>IFERROR(__xludf.DUMMYFUNCTION("""COMPUTED_VALUE"""),44410.66666666667)</f>
        <v>44410.66667</v>
      </c>
      <c r="F89" s="1">
        <f>IFERROR(__xludf.DUMMYFUNCTION("""COMPUTED_VALUE"""),57.58)</f>
        <v>57.58</v>
      </c>
      <c r="G89" s="4">
        <f>IFERROR(__xludf.DUMMYFUNCTION("""COMPUTED_VALUE"""),44410.66666666667)</f>
        <v>44410.66667</v>
      </c>
      <c r="H89" s="1">
        <f>IFERROR(__xludf.DUMMYFUNCTION("""COMPUTED_VALUE"""),101.63)</f>
        <v>101.63</v>
      </c>
      <c r="I89" s="5">
        <f t="shared" si="1"/>
        <v>0.01264431006</v>
      </c>
      <c r="K89" s="5">
        <f t="shared" si="2"/>
        <v>0.008075275613</v>
      </c>
      <c r="L89" s="5">
        <f t="shared" si="3"/>
        <v>0.01076762765</v>
      </c>
      <c r="M89" s="5">
        <f t="shared" si="4"/>
        <v>0.009544425859</v>
      </c>
      <c r="Q89" s="5"/>
    </row>
    <row r="90">
      <c r="A90" s="4">
        <f>IFERROR(__xludf.DUMMYFUNCTION("""COMPUTED_VALUE"""),44411.66666666667)</f>
        <v>44411.66667</v>
      </c>
      <c r="B90" s="1">
        <f>IFERROR(__xludf.DUMMYFUNCTION("""COMPUTED_VALUE"""),147.36)</f>
        <v>147.36</v>
      </c>
      <c r="C90" s="4">
        <f>IFERROR(__xludf.DUMMYFUNCTION("""COMPUTED_VALUE"""),44411.66666666667)</f>
        <v>44411.66667</v>
      </c>
      <c r="D90" s="1">
        <f>IFERROR(__xludf.DUMMYFUNCTION("""COMPUTED_VALUE"""),287.12)</f>
        <v>287.12</v>
      </c>
      <c r="E90" s="4">
        <f>IFERROR(__xludf.DUMMYFUNCTION("""COMPUTED_VALUE"""),44411.66666666667)</f>
        <v>44411.66667</v>
      </c>
      <c r="F90" s="1">
        <f>IFERROR(__xludf.DUMMYFUNCTION("""COMPUTED_VALUE"""),58.2)</f>
        <v>58.2</v>
      </c>
      <c r="G90" s="4">
        <f>IFERROR(__xludf.DUMMYFUNCTION("""COMPUTED_VALUE"""),44411.66666666667)</f>
        <v>44411.66667</v>
      </c>
      <c r="H90" s="1">
        <f>IFERROR(__xludf.DUMMYFUNCTION("""COMPUTED_VALUE"""),102.6)</f>
        <v>102.6</v>
      </c>
      <c r="I90" s="5">
        <f t="shared" si="1"/>
        <v>-0.002782301846</v>
      </c>
      <c r="K90" s="5">
        <f t="shared" si="2"/>
        <v>-0.002124547228</v>
      </c>
      <c r="L90" s="5">
        <f t="shared" si="3"/>
        <v>-0.02336769759</v>
      </c>
      <c r="M90" s="5">
        <f t="shared" si="4"/>
        <v>-0.022417154</v>
      </c>
      <c r="Q90" s="5"/>
    </row>
    <row r="91">
      <c r="A91" s="4">
        <f>IFERROR(__xludf.DUMMYFUNCTION("""COMPUTED_VALUE"""),44412.66666666667)</f>
        <v>44412.66667</v>
      </c>
      <c r="B91" s="1">
        <f>IFERROR(__xludf.DUMMYFUNCTION("""COMPUTED_VALUE"""),146.95)</f>
        <v>146.95</v>
      </c>
      <c r="C91" s="4">
        <f>IFERROR(__xludf.DUMMYFUNCTION("""COMPUTED_VALUE"""),44412.66666666667)</f>
        <v>44412.66667</v>
      </c>
      <c r="D91" s="1">
        <f>IFERROR(__xludf.DUMMYFUNCTION("""COMPUTED_VALUE"""),286.51)</f>
        <v>286.51</v>
      </c>
      <c r="E91" s="4">
        <f>IFERROR(__xludf.DUMMYFUNCTION("""COMPUTED_VALUE"""),44412.66666666667)</f>
        <v>44412.66667</v>
      </c>
      <c r="F91" s="1">
        <f>IFERROR(__xludf.DUMMYFUNCTION("""COMPUTED_VALUE"""),56.84)</f>
        <v>56.84</v>
      </c>
      <c r="G91" s="4">
        <f>IFERROR(__xludf.DUMMYFUNCTION("""COMPUTED_VALUE"""),44412.66666666667)</f>
        <v>44412.66667</v>
      </c>
      <c r="H91" s="1">
        <f>IFERROR(__xludf.DUMMYFUNCTION("""COMPUTED_VALUE"""),100.3)</f>
        <v>100.3</v>
      </c>
      <c r="I91" s="5">
        <f t="shared" si="1"/>
        <v>0.0007485539299</v>
      </c>
      <c r="K91" s="5">
        <f t="shared" si="2"/>
        <v>0.01050574151</v>
      </c>
      <c r="L91" s="5">
        <f t="shared" si="3"/>
        <v>0.00633356791</v>
      </c>
      <c r="M91" s="5">
        <f t="shared" si="4"/>
        <v>0.00927218345</v>
      </c>
      <c r="Q91" s="5"/>
    </row>
    <row r="92">
      <c r="A92" s="4">
        <f>IFERROR(__xludf.DUMMYFUNCTION("""COMPUTED_VALUE"""),44413.66666666667)</f>
        <v>44413.66667</v>
      </c>
      <c r="B92" s="1">
        <f>IFERROR(__xludf.DUMMYFUNCTION("""COMPUTED_VALUE"""),147.06)</f>
        <v>147.06</v>
      </c>
      <c r="C92" s="4">
        <f>IFERROR(__xludf.DUMMYFUNCTION("""COMPUTED_VALUE"""),44413.66666666667)</f>
        <v>44413.66667</v>
      </c>
      <c r="D92" s="1">
        <f>IFERROR(__xludf.DUMMYFUNCTION("""COMPUTED_VALUE"""),289.52)</f>
        <v>289.52</v>
      </c>
      <c r="E92" s="4">
        <f>IFERROR(__xludf.DUMMYFUNCTION("""COMPUTED_VALUE"""),44413.66666666667)</f>
        <v>44413.66667</v>
      </c>
      <c r="F92" s="1">
        <f>IFERROR(__xludf.DUMMYFUNCTION("""COMPUTED_VALUE"""),57.2)</f>
        <v>57.2</v>
      </c>
      <c r="G92" s="4">
        <f>IFERROR(__xludf.DUMMYFUNCTION("""COMPUTED_VALUE"""),44413.66666666667)</f>
        <v>44413.66667</v>
      </c>
      <c r="H92" s="1">
        <f>IFERROR(__xludf.DUMMYFUNCTION("""COMPUTED_VALUE"""),101.23)</f>
        <v>101.23</v>
      </c>
      <c r="I92" s="5">
        <f t="shared" si="1"/>
        <v>-0.006255949952</v>
      </c>
      <c r="K92" s="5">
        <f t="shared" si="2"/>
        <v>-0.0002072395689</v>
      </c>
      <c r="L92" s="5">
        <f t="shared" si="3"/>
        <v>0.01153846154</v>
      </c>
      <c r="M92" s="5">
        <f t="shared" si="4"/>
        <v>0.007112516053</v>
      </c>
      <c r="Q92" s="5"/>
    </row>
    <row r="93">
      <c r="A93" s="4">
        <f>IFERROR(__xludf.DUMMYFUNCTION("""COMPUTED_VALUE"""),44414.66666666667)</f>
        <v>44414.66667</v>
      </c>
      <c r="B93" s="1">
        <f>IFERROR(__xludf.DUMMYFUNCTION("""COMPUTED_VALUE"""),146.14)</f>
        <v>146.14</v>
      </c>
      <c r="C93" s="4">
        <f>IFERROR(__xludf.DUMMYFUNCTION("""COMPUTED_VALUE"""),44414.66666666667)</f>
        <v>44414.66667</v>
      </c>
      <c r="D93" s="1">
        <f>IFERROR(__xludf.DUMMYFUNCTION("""COMPUTED_VALUE"""),289.46)</f>
        <v>289.46</v>
      </c>
      <c r="E93" s="4">
        <f>IFERROR(__xludf.DUMMYFUNCTION("""COMPUTED_VALUE"""),44414.66666666667)</f>
        <v>44414.66667</v>
      </c>
      <c r="F93" s="1">
        <f>IFERROR(__xludf.DUMMYFUNCTION("""COMPUTED_VALUE"""),57.86)</f>
        <v>57.86</v>
      </c>
      <c r="G93" s="4">
        <f>IFERROR(__xludf.DUMMYFUNCTION("""COMPUTED_VALUE"""),44414.66666666667)</f>
        <v>44414.66667</v>
      </c>
      <c r="H93" s="1">
        <f>IFERROR(__xludf.DUMMYFUNCTION("""COMPUTED_VALUE"""),101.95)</f>
        <v>101.95</v>
      </c>
      <c r="I93" s="5">
        <f t="shared" si="1"/>
        <v>-0.0003421376762</v>
      </c>
      <c r="K93" s="5">
        <f t="shared" si="2"/>
        <v>-0.003903820908</v>
      </c>
      <c r="L93" s="5">
        <f t="shared" si="3"/>
        <v>-0.01140684411</v>
      </c>
      <c r="M93" s="5">
        <f t="shared" si="4"/>
        <v>-0.01667484061</v>
      </c>
      <c r="Q93" s="5"/>
    </row>
    <row r="94">
      <c r="A94" s="4">
        <f>IFERROR(__xludf.DUMMYFUNCTION("""COMPUTED_VALUE"""),44417.66666666667)</f>
        <v>44417.66667</v>
      </c>
      <c r="B94" s="1">
        <f>IFERROR(__xludf.DUMMYFUNCTION("""COMPUTED_VALUE"""),146.09)</f>
        <v>146.09</v>
      </c>
      <c r="C94" s="4">
        <f>IFERROR(__xludf.DUMMYFUNCTION("""COMPUTED_VALUE"""),44417.66666666667)</f>
        <v>44417.66667</v>
      </c>
      <c r="D94" s="1">
        <f>IFERROR(__xludf.DUMMYFUNCTION("""COMPUTED_VALUE"""),288.33)</f>
        <v>288.33</v>
      </c>
      <c r="E94" s="4">
        <f>IFERROR(__xludf.DUMMYFUNCTION("""COMPUTED_VALUE"""),44417.66666666667)</f>
        <v>44417.66667</v>
      </c>
      <c r="F94" s="1">
        <f>IFERROR(__xludf.DUMMYFUNCTION("""COMPUTED_VALUE"""),57.2)</f>
        <v>57.2</v>
      </c>
      <c r="G94" s="4">
        <f>IFERROR(__xludf.DUMMYFUNCTION("""COMPUTED_VALUE"""),44417.66666666667)</f>
        <v>44417.66667</v>
      </c>
      <c r="H94" s="1">
        <f>IFERROR(__xludf.DUMMYFUNCTION("""COMPUTED_VALUE"""),100.25)</f>
        <v>100.25</v>
      </c>
      <c r="I94" s="5">
        <f t="shared" si="1"/>
        <v>-0.00335409679</v>
      </c>
      <c r="K94" s="5">
        <f t="shared" si="2"/>
        <v>-0.006554989075</v>
      </c>
      <c r="L94" s="5">
        <f t="shared" si="3"/>
        <v>0.01713286713</v>
      </c>
      <c r="M94" s="5">
        <f t="shared" si="4"/>
        <v>0.01825436409</v>
      </c>
      <c r="Q94" s="5"/>
    </row>
    <row r="95">
      <c r="A95" s="4">
        <f>IFERROR(__xludf.DUMMYFUNCTION("""COMPUTED_VALUE"""),44418.66666666667)</f>
        <v>44418.66667</v>
      </c>
      <c r="B95" s="1">
        <f>IFERROR(__xludf.DUMMYFUNCTION("""COMPUTED_VALUE"""),145.6)</f>
        <v>145.6</v>
      </c>
      <c r="C95" s="4">
        <f>IFERROR(__xludf.DUMMYFUNCTION("""COMPUTED_VALUE"""),44418.66666666667)</f>
        <v>44418.66667</v>
      </c>
      <c r="D95" s="1">
        <f>IFERROR(__xludf.DUMMYFUNCTION("""COMPUTED_VALUE"""),286.44)</f>
        <v>286.44</v>
      </c>
      <c r="E95" s="4">
        <f>IFERROR(__xludf.DUMMYFUNCTION("""COMPUTED_VALUE"""),44418.66666666667)</f>
        <v>44418.66667</v>
      </c>
      <c r="F95" s="1">
        <f>IFERROR(__xludf.DUMMYFUNCTION("""COMPUTED_VALUE"""),58.18)</f>
        <v>58.18</v>
      </c>
      <c r="G95" s="4">
        <f>IFERROR(__xludf.DUMMYFUNCTION("""COMPUTED_VALUE"""),44418.66666666667)</f>
        <v>44418.66667</v>
      </c>
      <c r="H95" s="1">
        <f>IFERROR(__xludf.DUMMYFUNCTION("""COMPUTED_VALUE"""),102.08)</f>
        <v>102.08</v>
      </c>
      <c r="I95" s="5">
        <f t="shared" si="1"/>
        <v>0.001785714286</v>
      </c>
      <c r="K95" s="5">
        <f t="shared" si="2"/>
        <v>0.001780477587</v>
      </c>
      <c r="L95" s="5">
        <f t="shared" si="3"/>
        <v>0.002921966311</v>
      </c>
      <c r="M95" s="5">
        <f t="shared" si="4"/>
        <v>0.007543103448</v>
      </c>
      <c r="Q95" s="5"/>
    </row>
    <row r="96">
      <c r="A96" s="4">
        <f>IFERROR(__xludf.DUMMYFUNCTION("""COMPUTED_VALUE"""),44419.66666666667)</f>
        <v>44419.66667</v>
      </c>
      <c r="B96" s="1">
        <f>IFERROR(__xludf.DUMMYFUNCTION("""COMPUTED_VALUE"""),145.86)</f>
        <v>145.86</v>
      </c>
      <c r="C96" s="4">
        <f>IFERROR(__xludf.DUMMYFUNCTION("""COMPUTED_VALUE"""),44419.66666666667)</f>
        <v>44419.66667</v>
      </c>
      <c r="D96" s="1">
        <f>IFERROR(__xludf.DUMMYFUNCTION("""COMPUTED_VALUE"""),286.95)</f>
        <v>286.95</v>
      </c>
      <c r="E96" s="4">
        <f>IFERROR(__xludf.DUMMYFUNCTION("""COMPUTED_VALUE"""),44419.66666666667)</f>
        <v>44419.66667</v>
      </c>
      <c r="F96" s="1">
        <f>IFERROR(__xludf.DUMMYFUNCTION("""COMPUTED_VALUE"""),58.35)</f>
        <v>58.35</v>
      </c>
      <c r="G96" s="4">
        <f>IFERROR(__xludf.DUMMYFUNCTION("""COMPUTED_VALUE"""),44419.66666666667)</f>
        <v>44419.66667</v>
      </c>
      <c r="H96" s="1">
        <f>IFERROR(__xludf.DUMMYFUNCTION("""COMPUTED_VALUE"""),102.85)</f>
        <v>102.85</v>
      </c>
      <c r="I96" s="5">
        <f t="shared" si="1"/>
        <v>0.0207733443</v>
      </c>
      <c r="K96" s="5">
        <f t="shared" si="2"/>
        <v>0.009966893187</v>
      </c>
      <c r="L96" s="5">
        <f t="shared" si="3"/>
        <v>-0.01713796058</v>
      </c>
      <c r="M96" s="5">
        <f t="shared" si="4"/>
        <v>-0.002041808459</v>
      </c>
      <c r="Q96" s="5"/>
    </row>
    <row r="97">
      <c r="A97" s="4">
        <f>IFERROR(__xludf.DUMMYFUNCTION("""COMPUTED_VALUE"""),44420.66666666667)</f>
        <v>44420.66667</v>
      </c>
      <c r="B97" s="1">
        <f>IFERROR(__xludf.DUMMYFUNCTION("""COMPUTED_VALUE"""),148.89)</f>
        <v>148.89</v>
      </c>
      <c r="C97" s="4">
        <f>IFERROR(__xludf.DUMMYFUNCTION("""COMPUTED_VALUE"""),44420.66666666667)</f>
        <v>44420.66667</v>
      </c>
      <c r="D97" s="1">
        <f>IFERROR(__xludf.DUMMYFUNCTION("""COMPUTED_VALUE"""),289.81)</f>
        <v>289.81</v>
      </c>
      <c r="E97" s="4">
        <f>IFERROR(__xludf.DUMMYFUNCTION("""COMPUTED_VALUE"""),44420.66666666667)</f>
        <v>44420.66667</v>
      </c>
      <c r="F97" s="1">
        <f>IFERROR(__xludf.DUMMYFUNCTION("""COMPUTED_VALUE"""),57.35)</f>
        <v>57.35</v>
      </c>
      <c r="G97" s="4">
        <f>IFERROR(__xludf.DUMMYFUNCTION("""COMPUTED_VALUE"""),44420.66666666667)</f>
        <v>44420.66667</v>
      </c>
      <c r="H97" s="1">
        <f>IFERROR(__xludf.DUMMYFUNCTION("""COMPUTED_VALUE"""),102.64)</f>
        <v>102.64</v>
      </c>
      <c r="I97" s="5">
        <f t="shared" si="1"/>
        <v>0.001410437236</v>
      </c>
      <c r="K97" s="5">
        <f t="shared" si="2"/>
        <v>0.01048963114</v>
      </c>
      <c r="L97" s="5">
        <f t="shared" si="3"/>
        <v>-0.01011333915</v>
      </c>
      <c r="M97" s="5">
        <f t="shared" si="4"/>
        <v>-0.006625097428</v>
      </c>
      <c r="Q97" s="5"/>
    </row>
    <row r="98">
      <c r="A98" s="4">
        <f>IFERROR(__xludf.DUMMYFUNCTION("""COMPUTED_VALUE"""),44421.66666666667)</f>
        <v>44421.66667</v>
      </c>
      <c r="B98" s="1">
        <f>IFERROR(__xludf.DUMMYFUNCTION("""COMPUTED_VALUE"""),149.1)</f>
        <v>149.1</v>
      </c>
      <c r="C98" s="4">
        <f>IFERROR(__xludf.DUMMYFUNCTION("""COMPUTED_VALUE"""),44421.66666666667)</f>
        <v>44421.66667</v>
      </c>
      <c r="D98" s="1">
        <f>IFERROR(__xludf.DUMMYFUNCTION("""COMPUTED_VALUE"""),292.85)</f>
        <v>292.85</v>
      </c>
      <c r="E98" s="4">
        <f>IFERROR(__xludf.DUMMYFUNCTION("""COMPUTED_VALUE"""),44421.66666666667)</f>
        <v>44421.66667</v>
      </c>
      <c r="F98" s="1">
        <f>IFERROR(__xludf.DUMMYFUNCTION("""COMPUTED_VALUE"""),56.77)</f>
        <v>56.77</v>
      </c>
      <c r="G98" s="4">
        <f>IFERROR(__xludf.DUMMYFUNCTION("""COMPUTED_VALUE"""),44421.66666666667)</f>
        <v>44421.66667</v>
      </c>
      <c r="H98" s="1">
        <f>IFERROR(__xludf.DUMMYFUNCTION("""COMPUTED_VALUE"""),101.96)</f>
        <v>101.96</v>
      </c>
      <c r="I98" s="5">
        <f t="shared" si="1"/>
        <v>0.01354795439</v>
      </c>
      <c r="K98" s="5">
        <f t="shared" si="2"/>
        <v>0.005975755506</v>
      </c>
      <c r="L98" s="5">
        <f t="shared" si="3"/>
        <v>-0.0146203981</v>
      </c>
      <c r="M98" s="5">
        <f t="shared" si="4"/>
        <v>-0.01020007846</v>
      </c>
      <c r="Q98" s="5"/>
    </row>
    <row r="99">
      <c r="A99" s="4">
        <f>IFERROR(__xludf.DUMMYFUNCTION("""COMPUTED_VALUE"""),44424.66666666667)</f>
        <v>44424.66667</v>
      </c>
      <c r="B99" s="1">
        <f>IFERROR(__xludf.DUMMYFUNCTION("""COMPUTED_VALUE"""),151.12)</f>
        <v>151.12</v>
      </c>
      <c r="C99" s="4">
        <f>IFERROR(__xludf.DUMMYFUNCTION("""COMPUTED_VALUE"""),44424.66666666667)</f>
        <v>44424.66667</v>
      </c>
      <c r="D99" s="1">
        <f>IFERROR(__xludf.DUMMYFUNCTION("""COMPUTED_VALUE"""),294.6)</f>
        <v>294.6</v>
      </c>
      <c r="E99" s="4">
        <f>IFERROR(__xludf.DUMMYFUNCTION("""COMPUTED_VALUE"""),44424.66666666667)</f>
        <v>44424.66667</v>
      </c>
      <c r="F99" s="1">
        <f>IFERROR(__xludf.DUMMYFUNCTION("""COMPUTED_VALUE"""),55.94)</f>
        <v>55.94</v>
      </c>
      <c r="G99" s="4">
        <f>IFERROR(__xludf.DUMMYFUNCTION("""COMPUTED_VALUE"""),44424.66666666667)</f>
        <v>44424.66667</v>
      </c>
      <c r="H99" s="1">
        <f>IFERROR(__xludf.DUMMYFUNCTION("""COMPUTED_VALUE"""),100.92)</f>
        <v>100.92</v>
      </c>
      <c r="I99" s="5">
        <f t="shared" si="1"/>
        <v>-0.006154049762</v>
      </c>
      <c r="K99" s="5">
        <f t="shared" si="2"/>
        <v>-0.005159538357</v>
      </c>
      <c r="L99" s="5">
        <f t="shared" si="3"/>
        <v>-0.006792992492</v>
      </c>
      <c r="M99" s="5">
        <f t="shared" si="4"/>
        <v>-0.00188267935</v>
      </c>
      <c r="Q99" s="5"/>
    </row>
    <row r="100">
      <c r="A100" s="4">
        <f>IFERROR(__xludf.DUMMYFUNCTION("""COMPUTED_VALUE"""),44425.66666666667)</f>
        <v>44425.66667</v>
      </c>
      <c r="B100" s="1">
        <f>IFERROR(__xludf.DUMMYFUNCTION("""COMPUTED_VALUE"""),150.19)</f>
        <v>150.19</v>
      </c>
      <c r="C100" s="4">
        <f>IFERROR(__xludf.DUMMYFUNCTION("""COMPUTED_VALUE"""),44425.66666666667)</f>
        <v>44425.66667</v>
      </c>
      <c r="D100" s="1">
        <f>IFERROR(__xludf.DUMMYFUNCTION("""COMPUTED_VALUE"""),293.08)</f>
        <v>293.08</v>
      </c>
      <c r="E100" s="4">
        <f>IFERROR(__xludf.DUMMYFUNCTION("""COMPUTED_VALUE"""),44425.66666666667)</f>
        <v>44425.66667</v>
      </c>
      <c r="F100" s="1">
        <f>IFERROR(__xludf.DUMMYFUNCTION("""COMPUTED_VALUE"""),55.56)</f>
        <v>55.56</v>
      </c>
      <c r="G100" s="4">
        <f>IFERROR(__xludf.DUMMYFUNCTION("""COMPUTED_VALUE"""),44425.66666666667)</f>
        <v>44425.66667</v>
      </c>
      <c r="H100" s="1">
        <f>IFERROR(__xludf.DUMMYFUNCTION("""COMPUTED_VALUE"""),100.73)</f>
        <v>100.73</v>
      </c>
      <c r="I100" s="5">
        <f t="shared" si="1"/>
        <v>-0.02550103203</v>
      </c>
      <c r="K100" s="5">
        <f t="shared" si="2"/>
        <v>-0.008018288522</v>
      </c>
      <c r="L100" s="5">
        <f t="shared" si="3"/>
        <v>-0.02105831533</v>
      </c>
      <c r="M100" s="5">
        <f t="shared" si="4"/>
        <v>-0.04000794202</v>
      </c>
      <c r="Q100" s="5"/>
    </row>
    <row r="101">
      <c r="A101" s="4">
        <f>IFERROR(__xludf.DUMMYFUNCTION("""COMPUTED_VALUE"""),44426.66666666667)</f>
        <v>44426.66667</v>
      </c>
      <c r="B101" s="1">
        <f>IFERROR(__xludf.DUMMYFUNCTION("""COMPUTED_VALUE"""),146.36)</f>
        <v>146.36</v>
      </c>
      <c r="C101" s="4">
        <f>IFERROR(__xludf.DUMMYFUNCTION("""COMPUTED_VALUE"""),44426.66666666667)</f>
        <v>44426.66667</v>
      </c>
      <c r="D101" s="1">
        <f>IFERROR(__xludf.DUMMYFUNCTION("""COMPUTED_VALUE"""),290.73)</f>
        <v>290.73</v>
      </c>
      <c r="E101" s="4">
        <f>IFERROR(__xludf.DUMMYFUNCTION("""COMPUTED_VALUE"""),44426.66666666667)</f>
        <v>44426.66667</v>
      </c>
      <c r="F101" s="1">
        <f>IFERROR(__xludf.DUMMYFUNCTION("""COMPUTED_VALUE"""),54.39)</f>
        <v>54.39</v>
      </c>
      <c r="G101" s="4">
        <f>IFERROR(__xludf.DUMMYFUNCTION("""COMPUTED_VALUE"""),44426.66666666667)</f>
        <v>44426.66667</v>
      </c>
      <c r="H101" s="1">
        <f>IFERROR(__xludf.DUMMYFUNCTION("""COMPUTED_VALUE"""),96.7)</f>
        <v>96.7</v>
      </c>
      <c r="I101" s="5">
        <f t="shared" si="1"/>
        <v>0.002323039082</v>
      </c>
      <c r="K101" s="5">
        <f t="shared" si="2"/>
        <v>0.02077528979</v>
      </c>
      <c r="L101" s="5">
        <f t="shared" si="3"/>
        <v>-0.03052031623</v>
      </c>
      <c r="M101" s="5">
        <f t="shared" si="4"/>
        <v>-0.02492244054</v>
      </c>
      <c r="Q101" s="5"/>
    </row>
    <row r="102">
      <c r="A102" s="4">
        <f>IFERROR(__xludf.DUMMYFUNCTION("""COMPUTED_VALUE"""),44427.66666666667)</f>
        <v>44427.66667</v>
      </c>
      <c r="B102" s="1">
        <f>IFERROR(__xludf.DUMMYFUNCTION("""COMPUTED_VALUE"""),146.7)</f>
        <v>146.7</v>
      </c>
      <c r="C102" s="4">
        <f>IFERROR(__xludf.DUMMYFUNCTION("""COMPUTED_VALUE"""),44427.66666666667)</f>
        <v>44427.66667</v>
      </c>
      <c r="D102" s="1">
        <f>IFERROR(__xludf.DUMMYFUNCTION("""COMPUTED_VALUE"""),296.77)</f>
        <v>296.77</v>
      </c>
      <c r="E102" s="4">
        <f>IFERROR(__xludf.DUMMYFUNCTION("""COMPUTED_VALUE"""),44427.66666666667)</f>
        <v>44427.66667</v>
      </c>
      <c r="F102" s="1">
        <f>IFERROR(__xludf.DUMMYFUNCTION("""COMPUTED_VALUE"""),52.73)</f>
        <v>52.73</v>
      </c>
      <c r="G102" s="4">
        <f>IFERROR(__xludf.DUMMYFUNCTION("""COMPUTED_VALUE"""),44427.66666666667)</f>
        <v>44427.66667</v>
      </c>
      <c r="H102" s="1">
        <f>IFERROR(__xludf.DUMMYFUNCTION("""COMPUTED_VALUE"""),94.29)</f>
        <v>94.29</v>
      </c>
      <c r="I102" s="5">
        <f t="shared" si="1"/>
        <v>0.01015678255</v>
      </c>
      <c r="K102" s="5">
        <f t="shared" si="2"/>
        <v>0.02557536139</v>
      </c>
      <c r="L102" s="5">
        <f t="shared" si="3"/>
        <v>0.0001896453632</v>
      </c>
      <c r="M102" s="5">
        <f t="shared" si="4"/>
        <v>0.0001060557853</v>
      </c>
      <c r="Q102" s="5"/>
    </row>
    <row r="103">
      <c r="A103" s="4">
        <f>IFERROR(__xludf.DUMMYFUNCTION("""COMPUTED_VALUE"""),44428.66666666667)</f>
        <v>44428.66667</v>
      </c>
      <c r="B103" s="1">
        <f>IFERROR(__xludf.DUMMYFUNCTION("""COMPUTED_VALUE"""),148.19)</f>
        <v>148.19</v>
      </c>
      <c r="C103" s="4">
        <f>IFERROR(__xludf.DUMMYFUNCTION("""COMPUTED_VALUE"""),44428.66666666667)</f>
        <v>44428.66667</v>
      </c>
      <c r="D103" s="1">
        <f>IFERROR(__xludf.DUMMYFUNCTION("""COMPUTED_VALUE"""),304.36)</f>
        <v>304.36</v>
      </c>
      <c r="E103" s="4">
        <f>IFERROR(__xludf.DUMMYFUNCTION("""COMPUTED_VALUE"""),44428.66666666667)</f>
        <v>44428.66667</v>
      </c>
      <c r="F103" s="1">
        <f>IFERROR(__xludf.DUMMYFUNCTION("""COMPUTED_VALUE"""),52.74)</f>
        <v>52.74</v>
      </c>
      <c r="G103" s="4">
        <f>IFERROR(__xludf.DUMMYFUNCTION("""COMPUTED_VALUE"""),44428.66666666667)</f>
        <v>44428.66667</v>
      </c>
      <c r="H103" s="1">
        <f>IFERROR(__xludf.DUMMYFUNCTION("""COMPUTED_VALUE"""),94.3)</f>
        <v>94.3</v>
      </c>
      <c r="I103" s="5">
        <f t="shared" si="1"/>
        <v>0.01025710237</v>
      </c>
      <c r="K103" s="5">
        <f t="shared" si="2"/>
        <v>0.0009528190301</v>
      </c>
      <c r="L103" s="5">
        <f t="shared" si="3"/>
        <v>0.0411452408</v>
      </c>
      <c r="M103" s="5">
        <f t="shared" si="4"/>
        <v>0.02576882291</v>
      </c>
      <c r="Q103" s="5"/>
    </row>
    <row r="104">
      <c r="A104" s="4">
        <f>IFERROR(__xludf.DUMMYFUNCTION("""COMPUTED_VALUE"""),44431.66666666667)</f>
        <v>44431.66667</v>
      </c>
      <c r="B104" s="1">
        <f>IFERROR(__xludf.DUMMYFUNCTION("""COMPUTED_VALUE"""),149.71)</f>
        <v>149.71</v>
      </c>
      <c r="C104" s="4">
        <f>IFERROR(__xludf.DUMMYFUNCTION("""COMPUTED_VALUE"""),44431.66666666667)</f>
        <v>44431.66667</v>
      </c>
      <c r="D104" s="1">
        <f>IFERROR(__xludf.DUMMYFUNCTION("""COMPUTED_VALUE"""),304.65)</f>
        <v>304.65</v>
      </c>
      <c r="E104" s="4">
        <f>IFERROR(__xludf.DUMMYFUNCTION("""COMPUTED_VALUE"""),44431.66666666667)</f>
        <v>44431.66667</v>
      </c>
      <c r="F104" s="1">
        <f>IFERROR(__xludf.DUMMYFUNCTION("""COMPUTED_VALUE"""),54.91)</f>
        <v>54.91</v>
      </c>
      <c r="G104" s="4">
        <f>IFERROR(__xludf.DUMMYFUNCTION("""COMPUTED_VALUE"""),44431.66666666667)</f>
        <v>44431.66667</v>
      </c>
      <c r="H104" s="1">
        <f>IFERROR(__xludf.DUMMYFUNCTION("""COMPUTED_VALUE"""),96.73)</f>
        <v>96.73</v>
      </c>
      <c r="I104" s="5">
        <f t="shared" si="1"/>
        <v>-0.000601162247</v>
      </c>
      <c r="K104" s="5">
        <f t="shared" si="2"/>
        <v>-0.006663384211</v>
      </c>
      <c r="L104" s="5">
        <f t="shared" si="3"/>
        <v>0.008195228556</v>
      </c>
      <c r="M104" s="5">
        <f t="shared" si="4"/>
        <v>0.01147524036</v>
      </c>
      <c r="Q104" s="5"/>
    </row>
    <row r="105">
      <c r="A105" s="4">
        <f>IFERROR(__xludf.DUMMYFUNCTION("""COMPUTED_VALUE"""),44432.66666666667)</f>
        <v>44432.66667</v>
      </c>
      <c r="B105" s="1">
        <f>IFERROR(__xludf.DUMMYFUNCTION("""COMPUTED_VALUE"""),149.62)</f>
        <v>149.62</v>
      </c>
      <c r="C105" s="4">
        <f>IFERROR(__xludf.DUMMYFUNCTION("""COMPUTED_VALUE"""),44432.66666666667)</f>
        <v>44432.66667</v>
      </c>
      <c r="D105" s="1">
        <f>IFERROR(__xludf.DUMMYFUNCTION("""COMPUTED_VALUE"""),302.62)</f>
        <v>302.62</v>
      </c>
      <c r="E105" s="4">
        <f>IFERROR(__xludf.DUMMYFUNCTION("""COMPUTED_VALUE"""),44432.66666666667)</f>
        <v>44432.66667</v>
      </c>
      <c r="F105" s="1">
        <f>IFERROR(__xludf.DUMMYFUNCTION("""COMPUTED_VALUE"""),55.36)</f>
        <v>55.36</v>
      </c>
      <c r="G105" s="4">
        <f>IFERROR(__xludf.DUMMYFUNCTION("""COMPUTED_VALUE"""),44432.66666666667)</f>
        <v>44432.66667</v>
      </c>
      <c r="H105" s="1">
        <f>IFERROR(__xludf.DUMMYFUNCTION("""COMPUTED_VALUE"""),97.84)</f>
        <v>97.84</v>
      </c>
      <c r="I105" s="5">
        <f t="shared" si="1"/>
        <v>-0.008421334046</v>
      </c>
      <c r="K105" s="5">
        <f t="shared" si="2"/>
        <v>-0.002015729297</v>
      </c>
      <c r="L105" s="5">
        <f t="shared" si="3"/>
        <v>0.001806358382</v>
      </c>
      <c r="M105" s="5">
        <f t="shared" si="4"/>
        <v>0.006847914963</v>
      </c>
      <c r="Q105" s="5"/>
    </row>
    <row r="106">
      <c r="A106" s="4">
        <f>IFERROR(__xludf.DUMMYFUNCTION("""COMPUTED_VALUE"""),44433.66666666667)</f>
        <v>44433.66667</v>
      </c>
      <c r="B106" s="1">
        <f>IFERROR(__xludf.DUMMYFUNCTION("""COMPUTED_VALUE"""),148.36)</f>
        <v>148.36</v>
      </c>
      <c r="C106" s="4">
        <f>IFERROR(__xludf.DUMMYFUNCTION("""COMPUTED_VALUE"""),44433.66666666667)</f>
        <v>44433.66667</v>
      </c>
      <c r="D106" s="1">
        <f>IFERROR(__xludf.DUMMYFUNCTION("""COMPUTED_VALUE"""),302.01)</f>
        <v>302.01</v>
      </c>
      <c r="E106" s="4">
        <f>IFERROR(__xludf.DUMMYFUNCTION("""COMPUTED_VALUE"""),44433.66666666667)</f>
        <v>44433.66667</v>
      </c>
      <c r="F106" s="1">
        <f>IFERROR(__xludf.DUMMYFUNCTION("""COMPUTED_VALUE"""),55.46)</f>
        <v>55.46</v>
      </c>
      <c r="G106" s="4">
        <f>IFERROR(__xludf.DUMMYFUNCTION("""COMPUTED_VALUE"""),44433.66666666667)</f>
        <v>44433.66667</v>
      </c>
      <c r="H106" s="1">
        <f>IFERROR(__xludf.DUMMYFUNCTION("""COMPUTED_VALUE"""),98.51)</f>
        <v>98.51</v>
      </c>
      <c r="I106" s="5">
        <f t="shared" si="1"/>
        <v>-0.005527096252</v>
      </c>
      <c r="K106" s="5">
        <f t="shared" si="2"/>
        <v>-0.009668554021</v>
      </c>
      <c r="L106" s="5">
        <f t="shared" si="3"/>
        <v>-0.01352326001</v>
      </c>
      <c r="M106" s="5">
        <f t="shared" si="4"/>
        <v>-0.01309511725</v>
      </c>
      <c r="Q106" s="5"/>
    </row>
    <row r="107">
      <c r="A107" s="4">
        <f>IFERROR(__xludf.DUMMYFUNCTION("""COMPUTED_VALUE"""),44434.66666666667)</f>
        <v>44434.66667</v>
      </c>
      <c r="B107" s="1">
        <f>IFERROR(__xludf.DUMMYFUNCTION("""COMPUTED_VALUE"""),147.54)</f>
        <v>147.54</v>
      </c>
      <c r="C107" s="4">
        <f>IFERROR(__xludf.DUMMYFUNCTION("""COMPUTED_VALUE"""),44434.66666666667)</f>
        <v>44434.66667</v>
      </c>
      <c r="D107" s="1">
        <f>IFERROR(__xludf.DUMMYFUNCTION("""COMPUTED_VALUE"""),299.09)</f>
        <v>299.09</v>
      </c>
      <c r="E107" s="4">
        <f>IFERROR(__xludf.DUMMYFUNCTION("""COMPUTED_VALUE"""),44434.66666666667)</f>
        <v>44434.66667</v>
      </c>
      <c r="F107" s="1">
        <f>IFERROR(__xludf.DUMMYFUNCTION("""COMPUTED_VALUE"""),54.71)</f>
        <v>54.71</v>
      </c>
      <c r="G107" s="4">
        <f>IFERROR(__xludf.DUMMYFUNCTION("""COMPUTED_VALUE"""),44434.66666666667)</f>
        <v>44434.66667</v>
      </c>
      <c r="H107" s="1">
        <f>IFERROR(__xludf.DUMMYFUNCTION("""COMPUTED_VALUE"""),97.22)</f>
        <v>97.22</v>
      </c>
      <c r="I107" s="5">
        <f t="shared" si="1"/>
        <v>0.007184492341</v>
      </c>
      <c r="K107" s="5">
        <f t="shared" si="2"/>
        <v>0.002106389381</v>
      </c>
      <c r="L107" s="5">
        <f t="shared" si="3"/>
        <v>0.01937488576</v>
      </c>
      <c r="M107" s="5">
        <f t="shared" si="4"/>
        <v>0.01460604814</v>
      </c>
      <c r="Q107" s="5"/>
    </row>
    <row r="108">
      <c r="A108" s="4">
        <f>IFERROR(__xludf.DUMMYFUNCTION("""COMPUTED_VALUE"""),44435.66666666667)</f>
        <v>44435.66667</v>
      </c>
      <c r="B108" s="1">
        <f>IFERROR(__xludf.DUMMYFUNCTION("""COMPUTED_VALUE"""),148.6)</f>
        <v>148.6</v>
      </c>
      <c r="C108" s="4">
        <f>IFERROR(__xludf.DUMMYFUNCTION("""COMPUTED_VALUE"""),44435.66666666667)</f>
        <v>44435.66667</v>
      </c>
      <c r="D108" s="1">
        <f>IFERROR(__xludf.DUMMYFUNCTION("""COMPUTED_VALUE"""),299.72)</f>
        <v>299.72</v>
      </c>
      <c r="E108" s="4">
        <f>IFERROR(__xludf.DUMMYFUNCTION("""COMPUTED_VALUE"""),44435.66666666667)</f>
        <v>44435.66667</v>
      </c>
      <c r="F108" s="1">
        <f>IFERROR(__xludf.DUMMYFUNCTION("""COMPUTED_VALUE"""),55.77)</f>
        <v>55.77</v>
      </c>
      <c r="G108" s="4">
        <f>IFERROR(__xludf.DUMMYFUNCTION("""COMPUTED_VALUE"""),44435.66666666667)</f>
        <v>44435.66667</v>
      </c>
      <c r="H108" s="1">
        <f>IFERROR(__xludf.DUMMYFUNCTION("""COMPUTED_VALUE"""),98.64)</f>
        <v>98.64</v>
      </c>
      <c r="I108" s="5">
        <f t="shared" si="1"/>
        <v>0.03041722746</v>
      </c>
      <c r="K108" s="5">
        <f t="shared" si="2"/>
        <v>0.01291205125</v>
      </c>
      <c r="L108" s="5">
        <f t="shared" si="3"/>
        <v>-0.01093778017</v>
      </c>
      <c r="M108" s="5">
        <f t="shared" si="4"/>
        <v>-0.002534468775</v>
      </c>
      <c r="Q108" s="5"/>
    </row>
    <row r="109">
      <c r="A109" s="4">
        <f>IFERROR(__xludf.DUMMYFUNCTION("""COMPUTED_VALUE"""),44438.66666666667)</f>
        <v>44438.66667</v>
      </c>
      <c r="B109" s="1">
        <f>IFERROR(__xludf.DUMMYFUNCTION("""COMPUTED_VALUE"""),153.12)</f>
        <v>153.12</v>
      </c>
      <c r="C109" s="4">
        <f>IFERROR(__xludf.DUMMYFUNCTION("""COMPUTED_VALUE"""),44438.66666666667)</f>
        <v>44438.66667</v>
      </c>
      <c r="D109" s="1">
        <f>IFERROR(__xludf.DUMMYFUNCTION("""COMPUTED_VALUE"""),303.59)</f>
        <v>303.59</v>
      </c>
      <c r="E109" s="4">
        <f>IFERROR(__xludf.DUMMYFUNCTION("""COMPUTED_VALUE"""),44438.66666666667)</f>
        <v>44438.66667</v>
      </c>
      <c r="F109" s="1">
        <f>IFERROR(__xludf.DUMMYFUNCTION("""COMPUTED_VALUE"""),55.16)</f>
        <v>55.16</v>
      </c>
      <c r="G109" s="4">
        <f>IFERROR(__xludf.DUMMYFUNCTION("""COMPUTED_VALUE"""),44438.66666666667)</f>
        <v>44438.66667</v>
      </c>
      <c r="H109" s="1">
        <f>IFERROR(__xludf.DUMMYFUNCTION("""COMPUTED_VALUE"""),98.39)</f>
        <v>98.39</v>
      </c>
      <c r="I109" s="5">
        <f t="shared" si="1"/>
        <v>-0.00842476489</v>
      </c>
      <c r="K109" s="5">
        <f t="shared" si="2"/>
        <v>-0.005632596594</v>
      </c>
      <c r="L109" s="5">
        <f t="shared" si="3"/>
        <v>-0.01160261059</v>
      </c>
      <c r="M109" s="5">
        <f t="shared" si="4"/>
        <v>-0.01646508792</v>
      </c>
      <c r="Q109" s="5"/>
    </row>
    <row r="110">
      <c r="A110" s="4">
        <f>IFERROR(__xludf.DUMMYFUNCTION("""COMPUTED_VALUE"""),44439.66666666667)</f>
        <v>44439.66667</v>
      </c>
      <c r="B110" s="1">
        <f>IFERROR(__xludf.DUMMYFUNCTION("""COMPUTED_VALUE"""),151.83)</f>
        <v>151.83</v>
      </c>
      <c r="C110" s="4">
        <f>IFERROR(__xludf.DUMMYFUNCTION("""COMPUTED_VALUE"""),44439.66666666667)</f>
        <v>44439.66667</v>
      </c>
      <c r="D110" s="1">
        <f>IFERROR(__xludf.DUMMYFUNCTION("""COMPUTED_VALUE"""),301.88)</f>
        <v>301.88</v>
      </c>
      <c r="E110" s="4">
        <f>IFERROR(__xludf.DUMMYFUNCTION("""COMPUTED_VALUE"""),44439.66666666667)</f>
        <v>44439.66667</v>
      </c>
      <c r="F110" s="1">
        <f>IFERROR(__xludf.DUMMYFUNCTION("""COMPUTED_VALUE"""),54.52)</f>
        <v>54.52</v>
      </c>
      <c r="G110" s="4">
        <f>IFERROR(__xludf.DUMMYFUNCTION("""COMPUTED_VALUE"""),44439.66666666667)</f>
        <v>44439.66667</v>
      </c>
      <c r="H110" s="1">
        <f>IFERROR(__xludf.DUMMYFUNCTION("""COMPUTED_VALUE"""),96.77)</f>
        <v>96.77</v>
      </c>
      <c r="I110" s="5">
        <f t="shared" si="1"/>
        <v>0.004478693275</v>
      </c>
      <c r="K110" s="5">
        <f t="shared" si="2"/>
        <v>-0.0001656287266</v>
      </c>
      <c r="L110" s="5">
        <f t="shared" si="3"/>
        <v>-0.01375641966</v>
      </c>
      <c r="M110" s="5">
        <f t="shared" si="4"/>
        <v>-0.010953808</v>
      </c>
      <c r="Q110" s="5"/>
    </row>
    <row r="111">
      <c r="A111" s="4">
        <f>IFERROR(__xludf.DUMMYFUNCTION("""COMPUTED_VALUE"""),44440.66666666667)</f>
        <v>44440.66667</v>
      </c>
      <c r="B111" s="1">
        <f>IFERROR(__xludf.DUMMYFUNCTION("""COMPUTED_VALUE"""),152.51)</f>
        <v>152.51</v>
      </c>
      <c r="C111" s="4">
        <f>IFERROR(__xludf.DUMMYFUNCTION("""COMPUTED_VALUE"""),44440.66666666667)</f>
        <v>44440.66667</v>
      </c>
      <c r="D111" s="1">
        <f>IFERROR(__xludf.DUMMYFUNCTION("""COMPUTED_VALUE"""),301.83)</f>
        <v>301.83</v>
      </c>
      <c r="E111" s="4">
        <f>IFERROR(__xludf.DUMMYFUNCTION("""COMPUTED_VALUE"""),44440.66666666667)</f>
        <v>44440.66667</v>
      </c>
      <c r="F111" s="1">
        <f>IFERROR(__xludf.DUMMYFUNCTION("""COMPUTED_VALUE"""),53.77)</f>
        <v>53.77</v>
      </c>
      <c r="G111" s="4">
        <f>IFERROR(__xludf.DUMMYFUNCTION("""COMPUTED_VALUE"""),44440.66666666667)</f>
        <v>44440.66667</v>
      </c>
      <c r="H111" s="1">
        <f>IFERROR(__xludf.DUMMYFUNCTION("""COMPUTED_VALUE"""),95.71)</f>
        <v>95.71</v>
      </c>
      <c r="I111" s="5">
        <f t="shared" si="1"/>
        <v>0.007474919677</v>
      </c>
      <c r="K111" s="5">
        <f t="shared" si="2"/>
        <v>-0.002252923831</v>
      </c>
      <c r="L111" s="5">
        <f t="shared" si="3"/>
        <v>0.02436302771</v>
      </c>
      <c r="M111" s="5">
        <f t="shared" si="4"/>
        <v>0.02089645805</v>
      </c>
      <c r="Q111" s="5"/>
    </row>
    <row r="112">
      <c r="A112" s="4">
        <f>IFERROR(__xludf.DUMMYFUNCTION("""COMPUTED_VALUE"""),44441.66666666667)</f>
        <v>44441.66667</v>
      </c>
      <c r="B112" s="1">
        <f>IFERROR(__xludf.DUMMYFUNCTION("""COMPUTED_VALUE"""),153.65)</f>
        <v>153.65</v>
      </c>
      <c r="C112" s="4">
        <f>IFERROR(__xludf.DUMMYFUNCTION("""COMPUTED_VALUE"""),44441.66666666667)</f>
        <v>44441.66667</v>
      </c>
      <c r="D112" s="1">
        <f>IFERROR(__xludf.DUMMYFUNCTION("""COMPUTED_VALUE"""),301.15)</f>
        <v>301.15</v>
      </c>
      <c r="E112" s="4">
        <f>IFERROR(__xludf.DUMMYFUNCTION("""COMPUTED_VALUE"""),44441.66666666667)</f>
        <v>44441.66667</v>
      </c>
      <c r="F112" s="1">
        <f>IFERROR(__xludf.DUMMYFUNCTION("""COMPUTED_VALUE"""),55.08)</f>
        <v>55.08</v>
      </c>
      <c r="G112" s="4">
        <f>IFERROR(__xludf.DUMMYFUNCTION("""COMPUTED_VALUE"""),44441.66666666667)</f>
        <v>44441.66667</v>
      </c>
      <c r="H112" s="1">
        <f>IFERROR(__xludf.DUMMYFUNCTION("""COMPUTED_VALUE"""),97.71)</f>
        <v>97.71</v>
      </c>
      <c r="I112" s="5">
        <f t="shared" si="1"/>
        <v>0.004230393752</v>
      </c>
      <c r="K112" s="5">
        <f t="shared" si="2"/>
        <v>-0.0000332060435</v>
      </c>
      <c r="L112" s="5">
        <f t="shared" si="3"/>
        <v>-0.003812636166</v>
      </c>
      <c r="M112" s="5">
        <f t="shared" si="4"/>
        <v>-0.002251560741</v>
      </c>
      <c r="Q112" s="5"/>
    </row>
    <row r="113">
      <c r="A113" s="4">
        <f>IFERROR(__xludf.DUMMYFUNCTION("""COMPUTED_VALUE"""),44442.66666666667)</f>
        <v>44442.66667</v>
      </c>
      <c r="B113" s="1">
        <f>IFERROR(__xludf.DUMMYFUNCTION("""COMPUTED_VALUE"""),154.3)</f>
        <v>154.3</v>
      </c>
      <c r="C113" s="4">
        <f>IFERROR(__xludf.DUMMYFUNCTION("""COMPUTED_VALUE"""),44442.66666666667)</f>
        <v>44442.66667</v>
      </c>
      <c r="D113" s="1">
        <f>IFERROR(__xludf.DUMMYFUNCTION("""COMPUTED_VALUE"""),301.14)</f>
        <v>301.14</v>
      </c>
      <c r="E113" s="4">
        <f>IFERROR(__xludf.DUMMYFUNCTION("""COMPUTED_VALUE"""),44442.66666666667)</f>
        <v>44442.66667</v>
      </c>
      <c r="F113" s="1">
        <f>IFERROR(__xludf.DUMMYFUNCTION("""COMPUTED_VALUE"""),54.87)</f>
        <v>54.87</v>
      </c>
      <c r="G113" s="4">
        <f>IFERROR(__xludf.DUMMYFUNCTION("""COMPUTED_VALUE"""),44442.66666666667)</f>
        <v>44442.66667</v>
      </c>
      <c r="H113" s="1">
        <f>IFERROR(__xludf.DUMMYFUNCTION("""COMPUTED_VALUE"""),97.49)</f>
        <v>97.49</v>
      </c>
      <c r="I113" s="5">
        <f t="shared" si="1"/>
        <v>0.01548930655</v>
      </c>
      <c r="K113" s="5">
        <f t="shared" si="2"/>
        <v>-0.003187886033</v>
      </c>
      <c r="L113" s="5">
        <f t="shared" si="3"/>
        <v>-0.005831966466</v>
      </c>
      <c r="M113" s="5">
        <f t="shared" si="4"/>
        <v>-0.004410708791</v>
      </c>
      <c r="Q113" s="5"/>
    </row>
    <row r="114">
      <c r="A114" s="4">
        <f>IFERROR(__xludf.DUMMYFUNCTION("""COMPUTED_VALUE"""),44446.66666666667)</f>
        <v>44446.66667</v>
      </c>
      <c r="B114" s="1">
        <f>IFERROR(__xludf.DUMMYFUNCTION("""COMPUTED_VALUE"""),156.69)</f>
        <v>156.69</v>
      </c>
      <c r="C114" s="4">
        <f>IFERROR(__xludf.DUMMYFUNCTION("""COMPUTED_VALUE"""),44446.66666666667)</f>
        <v>44446.66667</v>
      </c>
      <c r="D114" s="1">
        <f>IFERROR(__xludf.DUMMYFUNCTION("""COMPUTED_VALUE"""),300.18)</f>
        <v>300.18</v>
      </c>
      <c r="E114" s="4">
        <f>IFERROR(__xludf.DUMMYFUNCTION("""COMPUTED_VALUE"""),44446.66666666667)</f>
        <v>44446.66667</v>
      </c>
      <c r="F114" s="1">
        <f>IFERROR(__xludf.DUMMYFUNCTION("""COMPUTED_VALUE"""),54.55)</f>
        <v>54.55</v>
      </c>
      <c r="G114" s="4">
        <f>IFERROR(__xludf.DUMMYFUNCTION("""COMPUTED_VALUE"""),44446.66666666667)</f>
        <v>44446.66667</v>
      </c>
      <c r="H114" s="1">
        <f>IFERROR(__xludf.DUMMYFUNCTION("""COMPUTED_VALUE"""),97.06)</f>
        <v>97.06</v>
      </c>
      <c r="I114" s="5">
        <f t="shared" si="1"/>
        <v>-0.01008360457</v>
      </c>
      <c r="K114" s="5">
        <f t="shared" si="2"/>
        <v>0.00009994003598</v>
      </c>
      <c r="L114" s="5">
        <f t="shared" si="3"/>
        <v>-0.009165902841</v>
      </c>
      <c r="M114" s="5">
        <f t="shared" si="4"/>
        <v>-0.006902946631</v>
      </c>
      <c r="Q114" s="5"/>
    </row>
    <row r="115">
      <c r="A115" s="4">
        <f>IFERROR(__xludf.DUMMYFUNCTION("""COMPUTED_VALUE"""),44447.66666666667)</f>
        <v>44447.66667</v>
      </c>
      <c r="B115" s="1">
        <f>IFERROR(__xludf.DUMMYFUNCTION("""COMPUTED_VALUE"""),155.11)</f>
        <v>155.11</v>
      </c>
      <c r="C115" s="4">
        <f>IFERROR(__xludf.DUMMYFUNCTION("""COMPUTED_VALUE"""),44447.66666666667)</f>
        <v>44447.66667</v>
      </c>
      <c r="D115" s="1">
        <f>IFERROR(__xludf.DUMMYFUNCTION("""COMPUTED_VALUE"""),300.21)</f>
        <v>300.21</v>
      </c>
      <c r="E115" s="4">
        <f>IFERROR(__xludf.DUMMYFUNCTION("""COMPUTED_VALUE"""),44447.66666666667)</f>
        <v>44447.66667</v>
      </c>
      <c r="F115" s="1">
        <f>IFERROR(__xludf.DUMMYFUNCTION("""COMPUTED_VALUE"""),54.05)</f>
        <v>54.05</v>
      </c>
      <c r="G115" s="4">
        <f>IFERROR(__xludf.DUMMYFUNCTION("""COMPUTED_VALUE"""),44447.66666666667)</f>
        <v>44447.66667</v>
      </c>
      <c r="H115" s="1">
        <f>IFERROR(__xludf.DUMMYFUNCTION("""COMPUTED_VALUE"""),96.39)</f>
        <v>96.39</v>
      </c>
      <c r="I115" s="5">
        <f t="shared" si="1"/>
        <v>-0.00670491909</v>
      </c>
      <c r="K115" s="5">
        <f t="shared" si="2"/>
        <v>-0.009859764831</v>
      </c>
      <c r="L115" s="5">
        <f t="shared" si="3"/>
        <v>0.0007400555042</v>
      </c>
      <c r="M115" s="5">
        <f t="shared" si="4"/>
        <v>-0.00404606287</v>
      </c>
      <c r="Q115" s="5"/>
    </row>
    <row r="116">
      <c r="A116" s="4">
        <f>IFERROR(__xludf.DUMMYFUNCTION("""COMPUTED_VALUE"""),44448.66666666667)</f>
        <v>44448.66667</v>
      </c>
      <c r="B116" s="1">
        <f>IFERROR(__xludf.DUMMYFUNCTION("""COMPUTED_VALUE"""),154.07)</f>
        <v>154.07</v>
      </c>
      <c r="C116" s="4">
        <f>IFERROR(__xludf.DUMMYFUNCTION("""COMPUTED_VALUE"""),44448.66666666667)</f>
        <v>44448.66667</v>
      </c>
      <c r="D116" s="1">
        <f>IFERROR(__xludf.DUMMYFUNCTION("""COMPUTED_VALUE"""),297.25)</f>
        <v>297.25</v>
      </c>
      <c r="E116" s="4">
        <f>IFERROR(__xludf.DUMMYFUNCTION("""COMPUTED_VALUE"""),44448.66666666667)</f>
        <v>44448.66667</v>
      </c>
      <c r="F116" s="1">
        <f>IFERROR(__xludf.DUMMYFUNCTION("""COMPUTED_VALUE"""),54.09)</f>
        <v>54.09</v>
      </c>
      <c r="G116" s="4">
        <f>IFERROR(__xludf.DUMMYFUNCTION("""COMPUTED_VALUE"""),44448.66666666667)</f>
        <v>44448.66667</v>
      </c>
      <c r="H116" s="1">
        <f>IFERROR(__xludf.DUMMYFUNCTION("""COMPUTED_VALUE"""),96.0)</f>
        <v>96</v>
      </c>
      <c r="I116" s="5">
        <f t="shared" si="1"/>
        <v>-0.03310183683</v>
      </c>
      <c r="K116" s="5">
        <f t="shared" si="2"/>
        <v>-0.005180824222</v>
      </c>
      <c r="L116" s="5">
        <f t="shared" si="3"/>
        <v>-0.002033647624</v>
      </c>
      <c r="M116" s="5">
        <f t="shared" si="4"/>
        <v>0.0007291666667</v>
      </c>
      <c r="Q116" s="5"/>
    </row>
    <row r="117">
      <c r="A117" s="4">
        <f>IFERROR(__xludf.DUMMYFUNCTION("""COMPUTED_VALUE"""),44449.66666666667)</f>
        <v>44449.66667</v>
      </c>
      <c r="B117" s="1">
        <f>IFERROR(__xludf.DUMMYFUNCTION("""COMPUTED_VALUE"""),148.97)</f>
        <v>148.97</v>
      </c>
      <c r="C117" s="4">
        <f>IFERROR(__xludf.DUMMYFUNCTION("""COMPUTED_VALUE"""),44449.66666666667)</f>
        <v>44449.66667</v>
      </c>
      <c r="D117" s="1">
        <f>IFERROR(__xludf.DUMMYFUNCTION("""COMPUTED_VALUE"""),295.71)</f>
        <v>295.71</v>
      </c>
      <c r="E117" s="4">
        <f>IFERROR(__xludf.DUMMYFUNCTION("""COMPUTED_VALUE"""),44449.66666666667)</f>
        <v>44449.66667</v>
      </c>
      <c r="F117" s="1">
        <f>IFERROR(__xludf.DUMMYFUNCTION("""COMPUTED_VALUE"""),53.98)</f>
        <v>53.98</v>
      </c>
      <c r="G117" s="4">
        <f>IFERROR(__xludf.DUMMYFUNCTION("""COMPUTED_VALUE"""),44449.66666666667)</f>
        <v>44449.66667</v>
      </c>
      <c r="H117" s="1">
        <f>IFERROR(__xludf.DUMMYFUNCTION("""COMPUTED_VALUE"""),96.07)</f>
        <v>96.07</v>
      </c>
      <c r="I117" s="5">
        <f t="shared" si="1"/>
        <v>0.003893401356</v>
      </c>
      <c r="K117" s="5">
        <f t="shared" si="2"/>
        <v>0.004328565148</v>
      </c>
      <c r="L117" s="5">
        <f t="shared" si="3"/>
        <v>0.02575027788</v>
      </c>
      <c r="M117" s="5">
        <f t="shared" si="4"/>
        <v>0.01977724576</v>
      </c>
      <c r="Q117" s="5"/>
    </row>
    <row r="118">
      <c r="A118" s="4">
        <f>IFERROR(__xludf.DUMMYFUNCTION("""COMPUTED_VALUE"""),44452.66666666667)</f>
        <v>44452.66667</v>
      </c>
      <c r="B118" s="1">
        <f>IFERROR(__xludf.DUMMYFUNCTION("""COMPUTED_VALUE"""),149.55)</f>
        <v>149.55</v>
      </c>
      <c r="C118" s="4">
        <f>IFERROR(__xludf.DUMMYFUNCTION("""COMPUTED_VALUE"""),44452.66666666667)</f>
        <v>44452.66667</v>
      </c>
      <c r="D118" s="1">
        <f>IFERROR(__xludf.DUMMYFUNCTION("""COMPUTED_VALUE"""),296.99)</f>
        <v>296.99</v>
      </c>
      <c r="E118" s="4">
        <f>IFERROR(__xludf.DUMMYFUNCTION("""COMPUTED_VALUE"""),44452.66666666667)</f>
        <v>44452.66667</v>
      </c>
      <c r="F118" s="1">
        <f>IFERROR(__xludf.DUMMYFUNCTION("""COMPUTED_VALUE"""),55.37)</f>
        <v>55.37</v>
      </c>
      <c r="G118" s="4">
        <f>IFERROR(__xludf.DUMMYFUNCTION("""COMPUTED_VALUE"""),44452.66666666667)</f>
        <v>44452.66667</v>
      </c>
      <c r="H118" s="1">
        <f>IFERROR(__xludf.DUMMYFUNCTION("""COMPUTED_VALUE"""),97.97)</f>
        <v>97.97</v>
      </c>
      <c r="I118" s="5">
        <f t="shared" si="1"/>
        <v>-0.009562019392</v>
      </c>
      <c r="K118" s="5">
        <f t="shared" si="2"/>
        <v>0.009427926866</v>
      </c>
      <c r="L118" s="5">
        <f t="shared" si="3"/>
        <v>-0.01426765396</v>
      </c>
      <c r="M118" s="5">
        <f t="shared" si="4"/>
        <v>-0.01806675513</v>
      </c>
      <c r="Q118" s="5"/>
    </row>
    <row r="119">
      <c r="A119" s="4">
        <f>IFERROR(__xludf.DUMMYFUNCTION("""COMPUTED_VALUE"""),44453.66666666667)</f>
        <v>44453.66667</v>
      </c>
      <c r="B119" s="1">
        <f>IFERROR(__xludf.DUMMYFUNCTION("""COMPUTED_VALUE"""),148.12)</f>
        <v>148.12</v>
      </c>
      <c r="C119" s="4">
        <f>IFERROR(__xludf.DUMMYFUNCTION("""COMPUTED_VALUE"""),44453.66666666667)</f>
        <v>44453.66667</v>
      </c>
      <c r="D119" s="1">
        <f>IFERROR(__xludf.DUMMYFUNCTION("""COMPUTED_VALUE"""),299.79)</f>
        <v>299.79</v>
      </c>
      <c r="E119" s="4">
        <f>IFERROR(__xludf.DUMMYFUNCTION("""COMPUTED_VALUE"""),44453.66666666667)</f>
        <v>44453.66667</v>
      </c>
      <c r="F119" s="1">
        <f>IFERROR(__xludf.DUMMYFUNCTION("""COMPUTED_VALUE"""),54.58)</f>
        <v>54.58</v>
      </c>
      <c r="G119" s="4">
        <f>IFERROR(__xludf.DUMMYFUNCTION("""COMPUTED_VALUE"""),44453.66666666667)</f>
        <v>44453.66667</v>
      </c>
      <c r="H119" s="1">
        <f>IFERROR(__xludf.DUMMYFUNCTION("""COMPUTED_VALUE"""),96.2)</f>
        <v>96.2</v>
      </c>
      <c r="I119" s="5">
        <f t="shared" si="1"/>
        <v>0.006143667297</v>
      </c>
      <c r="K119" s="5">
        <f t="shared" si="2"/>
        <v>0.01677841155</v>
      </c>
      <c r="L119" s="5">
        <f t="shared" si="3"/>
        <v>0.03371198241</v>
      </c>
      <c r="M119" s="5">
        <f t="shared" si="4"/>
        <v>0.02120582121</v>
      </c>
      <c r="Q119" s="5"/>
    </row>
    <row r="120">
      <c r="A120" s="4">
        <f>IFERROR(__xludf.DUMMYFUNCTION("""COMPUTED_VALUE"""),44454.66666666667)</f>
        <v>44454.66667</v>
      </c>
      <c r="B120" s="1">
        <f>IFERROR(__xludf.DUMMYFUNCTION("""COMPUTED_VALUE"""),149.03)</f>
        <v>149.03</v>
      </c>
      <c r="C120" s="4">
        <f>IFERROR(__xludf.DUMMYFUNCTION("""COMPUTED_VALUE"""),44454.66666666667)</f>
        <v>44454.66667</v>
      </c>
      <c r="D120" s="1">
        <f>IFERROR(__xludf.DUMMYFUNCTION("""COMPUTED_VALUE"""),304.82)</f>
        <v>304.82</v>
      </c>
      <c r="E120" s="4">
        <f>IFERROR(__xludf.DUMMYFUNCTION("""COMPUTED_VALUE"""),44454.66666666667)</f>
        <v>44454.66667</v>
      </c>
      <c r="F120" s="1">
        <f>IFERROR(__xludf.DUMMYFUNCTION("""COMPUTED_VALUE"""),56.42)</f>
        <v>56.42</v>
      </c>
      <c r="G120" s="4">
        <f>IFERROR(__xludf.DUMMYFUNCTION("""COMPUTED_VALUE"""),44454.66666666667)</f>
        <v>44454.66667</v>
      </c>
      <c r="H120" s="1">
        <f>IFERROR(__xludf.DUMMYFUNCTION("""COMPUTED_VALUE"""),98.24)</f>
        <v>98.24</v>
      </c>
      <c r="I120" s="5">
        <f t="shared" si="1"/>
        <v>-0.001610414011</v>
      </c>
      <c r="K120" s="5">
        <f t="shared" si="2"/>
        <v>0.001312249852</v>
      </c>
      <c r="L120" s="5">
        <f t="shared" si="3"/>
        <v>-0.01063452676</v>
      </c>
      <c r="M120" s="5">
        <f t="shared" si="4"/>
        <v>-0.009364820847</v>
      </c>
      <c r="Q120" s="5"/>
    </row>
    <row r="121">
      <c r="A121" s="4">
        <f>IFERROR(__xludf.DUMMYFUNCTION("""COMPUTED_VALUE"""),44455.66666666667)</f>
        <v>44455.66667</v>
      </c>
      <c r="B121" s="1">
        <f>IFERROR(__xludf.DUMMYFUNCTION("""COMPUTED_VALUE"""),148.79)</f>
        <v>148.79</v>
      </c>
      <c r="C121" s="4">
        <f>IFERROR(__xludf.DUMMYFUNCTION("""COMPUTED_VALUE"""),44455.66666666667)</f>
        <v>44455.66667</v>
      </c>
      <c r="D121" s="1">
        <f>IFERROR(__xludf.DUMMYFUNCTION("""COMPUTED_VALUE"""),305.22)</f>
        <v>305.22</v>
      </c>
      <c r="E121" s="4">
        <f>IFERROR(__xludf.DUMMYFUNCTION("""COMPUTED_VALUE"""),44455.66666666667)</f>
        <v>44455.66667</v>
      </c>
      <c r="F121" s="1">
        <f>IFERROR(__xludf.DUMMYFUNCTION("""COMPUTED_VALUE"""),55.82)</f>
        <v>55.82</v>
      </c>
      <c r="G121" s="4">
        <f>IFERROR(__xludf.DUMMYFUNCTION("""COMPUTED_VALUE"""),44455.66666666667)</f>
        <v>44455.66667</v>
      </c>
      <c r="H121" s="1">
        <f>IFERROR(__xludf.DUMMYFUNCTION("""COMPUTED_VALUE"""),97.32)</f>
        <v>97.32</v>
      </c>
      <c r="I121" s="5">
        <f t="shared" si="1"/>
        <v>-0.01834800726</v>
      </c>
      <c r="K121" s="5">
        <f t="shared" si="2"/>
        <v>-0.01752834021</v>
      </c>
      <c r="L121" s="5">
        <f t="shared" si="3"/>
        <v>-0.0118237191</v>
      </c>
      <c r="M121" s="5">
        <f t="shared" si="4"/>
        <v>-0.005754212906</v>
      </c>
      <c r="Q121" s="5"/>
    </row>
    <row r="122">
      <c r="A122" s="4">
        <f>IFERROR(__xludf.DUMMYFUNCTION("""COMPUTED_VALUE"""),44456.66666666667)</f>
        <v>44456.66667</v>
      </c>
      <c r="B122" s="1">
        <f>IFERROR(__xludf.DUMMYFUNCTION("""COMPUTED_VALUE"""),146.06)</f>
        <v>146.06</v>
      </c>
      <c r="C122" s="4">
        <f>IFERROR(__xludf.DUMMYFUNCTION("""COMPUTED_VALUE"""),44456.66666666667)</f>
        <v>44456.66667</v>
      </c>
      <c r="D122" s="1">
        <f>IFERROR(__xludf.DUMMYFUNCTION("""COMPUTED_VALUE"""),299.87)</f>
        <v>299.87</v>
      </c>
      <c r="E122" s="4">
        <f>IFERROR(__xludf.DUMMYFUNCTION("""COMPUTED_VALUE"""),44456.66666666667)</f>
        <v>44456.66667</v>
      </c>
      <c r="F122" s="1">
        <f>IFERROR(__xludf.DUMMYFUNCTION("""COMPUTED_VALUE"""),55.16)</f>
        <v>55.16</v>
      </c>
      <c r="G122" s="4">
        <f>IFERROR(__xludf.DUMMYFUNCTION("""COMPUTED_VALUE"""),44456.66666666667)</f>
        <v>44456.66667</v>
      </c>
      <c r="H122" s="1">
        <f>IFERROR(__xludf.DUMMYFUNCTION("""COMPUTED_VALUE"""),96.76)</f>
        <v>96.76</v>
      </c>
      <c r="I122" s="5">
        <f t="shared" si="1"/>
        <v>-0.02136108449</v>
      </c>
      <c r="K122" s="5">
        <f t="shared" si="2"/>
        <v>-0.01857471571</v>
      </c>
      <c r="L122" s="5">
        <f t="shared" si="3"/>
        <v>-0.02664974619</v>
      </c>
      <c r="M122" s="5">
        <f t="shared" si="4"/>
        <v>-0.02046300124</v>
      </c>
      <c r="Q122" s="5"/>
    </row>
    <row r="123">
      <c r="A123" s="4">
        <f>IFERROR(__xludf.DUMMYFUNCTION("""COMPUTED_VALUE"""),44459.66666666667)</f>
        <v>44459.66667</v>
      </c>
      <c r="B123" s="1">
        <f>IFERROR(__xludf.DUMMYFUNCTION("""COMPUTED_VALUE"""),142.94)</f>
        <v>142.94</v>
      </c>
      <c r="C123" s="4">
        <f>IFERROR(__xludf.DUMMYFUNCTION("""COMPUTED_VALUE"""),44459.66666666667)</f>
        <v>44459.66667</v>
      </c>
      <c r="D123" s="1">
        <f>IFERROR(__xludf.DUMMYFUNCTION("""COMPUTED_VALUE"""),294.3)</f>
        <v>294.3</v>
      </c>
      <c r="E123" s="4">
        <f>IFERROR(__xludf.DUMMYFUNCTION("""COMPUTED_VALUE"""),44459.66666666667)</f>
        <v>44459.66667</v>
      </c>
      <c r="F123" s="1">
        <f>IFERROR(__xludf.DUMMYFUNCTION("""COMPUTED_VALUE"""),53.69)</f>
        <v>53.69</v>
      </c>
      <c r="G123" s="4">
        <f>IFERROR(__xludf.DUMMYFUNCTION("""COMPUTED_VALUE"""),44459.66666666667)</f>
        <v>44459.66667</v>
      </c>
      <c r="H123" s="1">
        <f>IFERROR(__xludf.DUMMYFUNCTION("""COMPUTED_VALUE"""),94.78)</f>
        <v>94.78</v>
      </c>
      <c r="I123" s="5">
        <f t="shared" si="1"/>
        <v>0.003428011753</v>
      </c>
      <c r="K123" s="5">
        <f t="shared" si="2"/>
        <v>0.001698946653</v>
      </c>
      <c r="L123" s="5">
        <f t="shared" si="3"/>
        <v>-0.0009312721177</v>
      </c>
      <c r="M123" s="5">
        <f t="shared" si="4"/>
        <v>0.0007385524372</v>
      </c>
      <c r="Q123" s="5"/>
    </row>
    <row r="124">
      <c r="A124" s="4">
        <f>IFERROR(__xludf.DUMMYFUNCTION("""COMPUTED_VALUE"""),44460.66666666667)</f>
        <v>44460.66667</v>
      </c>
      <c r="B124" s="1">
        <f>IFERROR(__xludf.DUMMYFUNCTION("""COMPUTED_VALUE"""),143.43)</f>
        <v>143.43</v>
      </c>
      <c r="C124" s="4">
        <f>IFERROR(__xludf.DUMMYFUNCTION("""COMPUTED_VALUE"""),44460.66666666667)</f>
        <v>44460.66667</v>
      </c>
      <c r="D124" s="1">
        <f>IFERROR(__xludf.DUMMYFUNCTION("""COMPUTED_VALUE"""),294.8)</f>
        <v>294.8</v>
      </c>
      <c r="E124" s="4">
        <f>IFERROR(__xludf.DUMMYFUNCTION("""COMPUTED_VALUE"""),44460.66666666667)</f>
        <v>44460.66667</v>
      </c>
      <c r="F124" s="1">
        <f>IFERROR(__xludf.DUMMYFUNCTION("""COMPUTED_VALUE"""),53.64)</f>
        <v>53.64</v>
      </c>
      <c r="G124" s="4">
        <f>IFERROR(__xludf.DUMMYFUNCTION("""COMPUTED_VALUE"""),44460.66666666667)</f>
        <v>44460.66667</v>
      </c>
      <c r="H124" s="1">
        <f>IFERROR(__xludf.DUMMYFUNCTION("""COMPUTED_VALUE"""),94.85)</f>
        <v>94.85</v>
      </c>
      <c r="I124" s="5">
        <f t="shared" si="1"/>
        <v>0.01687234191</v>
      </c>
      <c r="K124" s="5">
        <f t="shared" si="2"/>
        <v>0.01282225237</v>
      </c>
      <c r="L124" s="5">
        <f t="shared" si="3"/>
        <v>0.02926920209</v>
      </c>
      <c r="M124" s="5">
        <f t="shared" si="4"/>
        <v>0.02941486558</v>
      </c>
      <c r="Q124" s="5"/>
    </row>
    <row r="125">
      <c r="A125" s="4">
        <f>IFERROR(__xludf.DUMMYFUNCTION("""COMPUTED_VALUE"""),44461.66666666667)</f>
        <v>44461.66667</v>
      </c>
      <c r="B125" s="1">
        <f>IFERROR(__xludf.DUMMYFUNCTION("""COMPUTED_VALUE"""),145.85)</f>
        <v>145.85</v>
      </c>
      <c r="C125" s="4">
        <f>IFERROR(__xludf.DUMMYFUNCTION("""COMPUTED_VALUE"""),44461.66666666667)</f>
        <v>44461.66667</v>
      </c>
      <c r="D125" s="1">
        <f>IFERROR(__xludf.DUMMYFUNCTION("""COMPUTED_VALUE"""),298.58)</f>
        <v>298.58</v>
      </c>
      <c r="E125" s="4">
        <f>IFERROR(__xludf.DUMMYFUNCTION("""COMPUTED_VALUE"""),44461.66666666667)</f>
        <v>44461.66667</v>
      </c>
      <c r="F125" s="1">
        <f>IFERROR(__xludf.DUMMYFUNCTION("""COMPUTED_VALUE"""),55.21)</f>
        <v>55.21</v>
      </c>
      <c r="G125" s="4">
        <f>IFERROR(__xludf.DUMMYFUNCTION("""COMPUTED_VALUE"""),44461.66666666667)</f>
        <v>44461.66667</v>
      </c>
      <c r="H125" s="1">
        <f>IFERROR(__xludf.DUMMYFUNCTION("""COMPUTED_VALUE"""),97.64)</f>
        <v>97.64</v>
      </c>
      <c r="I125" s="5">
        <f t="shared" si="1"/>
        <v>0.006719232088</v>
      </c>
      <c r="K125" s="5">
        <f t="shared" si="2"/>
        <v>0.003282202425</v>
      </c>
      <c r="L125" s="5">
        <f t="shared" si="3"/>
        <v>0.0338706756</v>
      </c>
      <c r="M125" s="5">
        <f t="shared" si="4"/>
        <v>0.02478492421</v>
      </c>
      <c r="Q125" s="5"/>
    </row>
    <row r="126">
      <c r="A126" s="4">
        <f>IFERROR(__xludf.DUMMYFUNCTION("""COMPUTED_VALUE"""),44462.66666666667)</f>
        <v>44462.66667</v>
      </c>
      <c r="B126" s="1">
        <f>IFERROR(__xludf.DUMMYFUNCTION("""COMPUTED_VALUE"""),146.83)</f>
        <v>146.83</v>
      </c>
      <c r="C126" s="4">
        <f>IFERROR(__xludf.DUMMYFUNCTION("""COMPUTED_VALUE"""),44462.66666666667)</f>
        <v>44462.66667</v>
      </c>
      <c r="D126" s="1">
        <f>IFERROR(__xludf.DUMMYFUNCTION("""COMPUTED_VALUE"""),299.56)</f>
        <v>299.56</v>
      </c>
      <c r="E126" s="4">
        <f>IFERROR(__xludf.DUMMYFUNCTION("""COMPUTED_VALUE"""),44462.66666666667)</f>
        <v>44462.66667</v>
      </c>
      <c r="F126" s="1">
        <f>IFERROR(__xludf.DUMMYFUNCTION("""COMPUTED_VALUE"""),57.08)</f>
        <v>57.08</v>
      </c>
      <c r="G126" s="4">
        <f>IFERROR(__xludf.DUMMYFUNCTION("""COMPUTED_VALUE"""),44462.66666666667)</f>
        <v>44462.66667</v>
      </c>
      <c r="H126" s="1">
        <f>IFERROR(__xludf.DUMMYFUNCTION("""COMPUTED_VALUE"""),100.06)</f>
        <v>100.06</v>
      </c>
      <c r="I126" s="5">
        <f t="shared" si="1"/>
        <v>0.000612953756</v>
      </c>
      <c r="K126" s="5">
        <f t="shared" si="2"/>
        <v>-0.0007010281747</v>
      </c>
      <c r="L126" s="5">
        <f t="shared" si="3"/>
        <v>0.008934828311</v>
      </c>
      <c r="M126" s="5">
        <f t="shared" si="4"/>
        <v>0.005396761943</v>
      </c>
      <c r="Q126" s="5"/>
    </row>
    <row r="127">
      <c r="A127" s="4">
        <f>IFERROR(__xludf.DUMMYFUNCTION("""COMPUTED_VALUE"""),44463.66666666667)</f>
        <v>44463.66667</v>
      </c>
      <c r="B127" s="1">
        <f>IFERROR(__xludf.DUMMYFUNCTION("""COMPUTED_VALUE"""),146.92)</f>
        <v>146.92</v>
      </c>
      <c r="C127" s="4">
        <f>IFERROR(__xludf.DUMMYFUNCTION("""COMPUTED_VALUE"""),44463.66666666667)</f>
        <v>44463.66667</v>
      </c>
      <c r="D127" s="1">
        <f>IFERROR(__xludf.DUMMYFUNCTION("""COMPUTED_VALUE"""),299.35)</f>
        <v>299.35</v>
      </c>
      <c r="E127" s="4">
        <f>IFERROR(__xludf.DUMMYFUNCTION("""COMPUTED_VALUE"""),44463.66666666667)</f>
        <v>44463.66667</v>
      </c>
      <c r="F127" s="1">
        <f>IFERROR(__xludf.DUMMYFUNCTION("""COMPUTED_VALUE"""),57.59)</f>
        <v>57.59</v>
      </c>
      <c r="G127" s="4">
        <f>IFERROR(__xludf.DUMMYFUNCTION("""COMPUTED_VALUE"""),44463.66666666667)</f>
        <v>44463.66667</v>
      </c>
      <c r="H127" s="1">
        <f>IFERROR(__xludf.DUMMYFUNCTION("""COMPUTED_VALUE"""),100.6)</f>
        <v>100.6</v>
      </c>
      <c r="I127" s="5">
        <f t="shared" si="1"/>
        <v>-0.01054995916</v>
      </c>
      <c r="K127" s="5">
        <f t="shared" si="2"/>
        <v>-0.01730415901</v>
      </c>
      <c r="L127" s="5">
        <f t="shared" si="3"/>
        <v>0.02969265497</v>
      </c>
      <c r="M127" s="5">
        <f t="shared" si="4"/>
        <v>0.02355864811</v>
      </c>
      <c r="Q127" s="5"/>
    </row>
    <row r="128">
      <c r="A128" s="4">
        <f>IFERROR(__xludf.DUMMYFUNCTION("""COMPUTED_VALUE"""),44466.66666666667)</f>
        <v>44466.66667</v>
      </c>
      <c r="B128" s="1">
        <f>IFERROR(__xludf.DUMMYFUNCTION("""COMPUTED_VALUE"""),145.37)</f>
        <v>145.37</v>
      </c>
      <c r="C128" s="4">
        <f>IFERROR(__xludf.DUMMYFUNCTION("""COMPUTED_VALUE"""),44466.66666666667)</f>
        <v>44466.66667</v>
      </c>
      <c r="D128" s="1">
        <f>IFERROR(__xludf.DUMMYFUNCTION("""COMPUTED_VALUE"""),294.17)</f>
        <v>294.17</v>
      </c>
      <c r="E128" s="4">
        <f>IFERROR(__xludf.DUMMYFUNCTION("""COMPUTED_VALUE"""),44466.66666666667)</f>
        <v>44466.66667</v>
      </c>
      <c r="F128" s="1">
        <f>IFERROR(__xludf.DUMMYFUNCTION("""COMPUTED_VALUE"""),59.3)</f>
        <v>59.3</v>
      </c>
      <c r="G128" s="4">
        <f>IFERROR(__xludf.DUMMYFUNCTION("""COMPUTED_VALUE"""),44466.66666666667)</f>
        <v>44466.66667</v>
      </c>
      <c r="H128" s="1">
        <f>IFERROR(__xludf.DUMMYFUNCTION("""COMPUTED_VALUE"""),102.97)</f>
        <v>102.97</v>
      </c>
      <c r="I128" s="5">
        <f t="shared" si="1"/>
        <v>-0.02380133453</v>
      </c>
      <c r="K128" s="5">
        <f t="shared" si="2"/>
        <v>-0.03620355577</v>
      </c>
      <c r="L128" s="5">
        <f t="shared" si="3"/>
        <v>0.01045531197</v>
      </c>
      <c r="M128" s="5">
        <f t="shared" si="4"/>
        <v>0.003787510926</v>
      </c>
      <c r="Q128" s="5"/>
    </row>
    <row r="129">
      <c r="A129" s="4">
        <f>IFERROR(__xludf.DUMMYFUNCTION("""COMPUTED_VALUE"""),44467.66666666667)</f>
        <v>44467.66667</v>
      </c>
      <c r="B129" s="1">
        <f>IFERROR(__xludf.DUMMYFUNCTION("""COMPUTED_VALUE"""),141.91)</f>
        <v>141.91</v>
      </c>
      <c r="C129" s="4">
        <f>IFERROR(__xludf.DUMMYFUNCTION("""COMPUTED_VALUE"""),44467.66666666667)</f>
        <v>44467.66667</v>
      </c>
      <c r="D129" s="1">
        <f>IFERROR(__xludf.DUMMYFUNCTION("""COMPUTED_VALUE"""),283.52)</f>
        <v>283.52</v>
      </c>
      <c r="E129" s="4">
        <f>IFERROR(__xludf.DUMMYFUNCTION("""COMPUTED_VALUE"""),44467.66666666667)</f>
        <v>44467.66667</v>
      </c>
      <c r="F129" s="1">
        <f>IFERROR(__xludf.DUMMYFUNCTION("""COMPUTED_VALUE"""),59.92)</f>
        <v>59.92</v>
      </c>
      <c r="G129" s="4">
        <f>IFERROR(__xludf.DUMMYFUNCTION("""COMPUTED_VALUE"""),44467.66666666667)</f>
        <v>44467.66667</v>
      </c>
      <c r="H129" s="1">
        <f>IFERROR(__xludf.DUMMYFUNCTION("""COMPUTED_VALUE"""),103.36)</f>
        <v>103.36</v>
      </c>
      <c r="I129" s="5">
        <f t="shared" si="1"/>
        <v>0.006482982172</v>
      </c>
      <c r="K129" s="5">
        <f t="shared" si="2"/>
        <v>0.001693002257</v>
      </c>
      <c r="L129" s="5">
        <f t="shared" si="3"/>
        <v>-0.0006675567423</v>
      </c>
      <c r="M129" s="5">
        <f t="shared" si="4"/>
        <v>-0.000290247678</v>
      </c>
      <c r="Q129" s="5"/>
    </row>
    <row r="130">
      <c r="A130" s="4">
        <f>IFERROR(__xludf.DUMMYFUNCTION("""COMPUTED_VALUE"""),44468.66666666667)</f>
        <v>44468.66667</v>
      </c>
      <c r="B130" s="1">
        <f>IFERROR(__xludf.DUMMYFUNCTION("""COMPUTED_VALUE"""),142.83)</f>
        <v>142.83</v>
      </c>
      <c r="C130" s="4">
        <f>IFERROR(__xludf.DUMMYFUNCTION("""COMPUTED_VALUE"""),44468.66666666667)</f>
        <v>44468.66667</v>
      </c>
      <c r="D130" s="1">
        <f>IFERROR(__xludf.DUMMYFUNCTION("""COMPUTED_VALUE"""),284.0)</f>
        <v>284</v>
      </c>
      <c r="E130" s="4">
        <f>IFERROR(__xludf.DUMMYFUNCTION("""COMPUTED_VALUE"""),44468.66666666667)</f>
        <v>44468.66667</v>
      </c>
      <c r="F130" s="1">
        <f>IFERROR(__xludf.DUMMYFUNCTION("""COMPUTED_VALUE"""),59.88)</f>
        <v>59.88</v>
      </c>
      <c r="G130" s="4">
        <f>IFERROR(__xludf.DUMMYFUNCTION("""COMPUTED_VALUE"""),44468.66666666667)</f>
        <v>44468.66667</v>
      </c>
      <c r="H130" s="1">
        <f>IFERROR(__xludf.DUMMYFUNCTION("""COMPUTED_VALUE"""),103.33)</f>
        <v>103.33</v>
      </c>
      <c r="I130" s="5">
        <f t="shared" si="1"/>
        <v>-0.009311769236</v>
      </c>
      <c r="K130" s="5">
        <f t="shared" si="2"/>
        <v>-0.007323943662</v>
      </c>
      <c r="L130" s="5">
        <f t="shared" si="3"/>
        <v>-0.01770207081</v>
      </c>
      <c r="M130" s="5">
        <f t="shared" si="4"/>
        <v>-0.01819413529</v>
      </c>
      <c r="Q130" s="5"/>
    </row>
    <row r="131">
      <c r="A131" s="4">
        <f>IFERROR(__xludf.DUMMYFUNCTION("""COMPUTED_VALUE"""),44469.66666666667)</f>
        <v>44469.66667</v>
      </c>
      <c r="B131" s="1">
        <f>IFERROR(__xludf.DUMMYFUNCTION("""COMPUTED_VALUE"""),141.5)</f>
        <v>141.5</v>
      </c>
      <c r="C131" s="4">
        <f>IFERROR(__xludf.DUMMYFUNCTION("""COMPUTED_VALUE"""),44469.66666666667)</f>
        <v>44469.66667</v>
      </c>
      <c r="D131" s="1">
        <f>IFERROR(__xludf.DUMMYFUNCTION("""COMPUTED_VALUE"""),281.92)</f>
        <v>281.92</v>
      </c>
      <c r="E131" s="4">
        <f>IFERROR(__xludf.DUMMYFUNCTION("""COMPUTED_VALUE"""),44469.66666666667)</f>
        <v>44469.66667</v>
      </c>
      <c r="F131" s="1">
        <f>IFERROR(__xludf.DUMMYFUNCTION("""COMPUTED_VALUE"""),58.82)</f>
        <v>58.82</v>
      </c>
      <c r="G131" s="4">
        <f>IFERROR(__xludf.DUMMYFUNCTION("""COMPUTED_VALUE"""),44469.66666666667)</f>
        <v>44469.66667</v>
      </c>
      <c r="H131" s="1">
        <f>IFERROR(__xludf.DUMMYFUNCTION("""COMPUTED_VALUE"""),101.45)</f>
        <v>101.45</v>
      </c>
      <c r="I131" s="5">
        <f t="shared" si="1"/>
        <v>0.008127208481</v>
      </c>
      <c r="K131" s="5">
        <f t="shared" si="2"/>
        <v>0.02546821793</v>
      </c>
      <c r="L131" s="5">
        <f t="shared" si="3"/>
        <v>0.03587215233</v>
      </c>
      <c r="M131" s="5">
        <f t="shared" si="4"/>
        <v>0.02838836865</v>
      </c>
      <c r="Q131" s="5"/>
    </row>
    <row r="132">
      <c r="A132" s="4">
        <f>IFERROR(__xludf.DUMMYFUNCTION("""COMPUTED_VALUE"""),44470.66666666667)</f>
        <v>44470.66667</v>
      </c>
      <c r="B132" s="1">
        <f>IFERROR(__xludf.DUMMYFUNCTION("""COMPUTED_VALUE"""),142.65)</f>
        <v>142.65</v>
      </c>
      <c r="C132" s="4">
        <f>IFERROR(__xludf.DUMMYFUNCTION("""COMPUTED_VALUE"""),44470.66666666667)</f>
        <v>44470.66667</v>
      </c>
      <c r="D132" s="1">
        <f>IFERROR(__xludf.DUMMYFUNCTION("""COMPUTED_VALUE"""),289.1)</f>
        <v>289.1</v>
      </c>
      <c r="E132" s="4">
        <f>IFERROR(__xludf.DUMMYFUNCTION("""COMPUTED_VALUE"""),44470.66666666667)</f>
        <v>44470.66667</v>
      </c>
      <c r="F132" s="1">
        <f>IFERROR(__xludf.DUMMYFUNCTION("""COMPUTED_VALUE"""),60.93)</f>
        <v>60.93</v>
      </c>
      <c r="G132" s="4">
        <f>IFERROR(__xludf.DUMMYFUNCTION("""COMPUTED_VALUE"""),44470.66666666667)</f>
        <v>44470.66667</v>
      </c>
      <c r="H132" s="1">
        <f>IFERROR(__xludf.DUMMYFUNCTION("""COMPUTED_VALUE"""),104.33)</f>
        <v>104.33</v>
      </c>
      <c r="I132" s="5">
        <f t="shared" si="1"/>
        <v>-0.02460567823</v>
      </c>
      <c r="K132" s="5">
        <f t="shared" si="2"/>
        <v>-0.02071947423</v>
      </c>
      <c r="L132" s="5">
        <f t="shared" si="3"/>
        <v>0.01296569834</v>
      </c>
      <c r="M132" s="5">
        <f t="shared" si="4"/>
        <v>0.003738138599</v>
      </c>
      <c r="Q132" s="5"/>
    </row>
    <row r="133">
      <c r="A133" s="4">
        <f>IFERROR(__xludf.DUMMYFUNCTION("""COMPUTED_VALUE"""),44473.66666666667)</f>
        <v>44473.66667</v>
      </c>
      <c r="B133" s="1">
        <f>IFERROR(__xludf.DUMMYFUNCTION("""COMPUTED_VALUE"""),139.14)</f>
        <v>139.14</v>
      </c>
      <c r="C133" s="4">
        <f>IFERROR(__xludf.DUMMYFUNCTION("""COMPUTED_VALUE"""),44473.66666666667)</f>
        <v>44473.66667</v>
      </c>
      <c r="D133" s="1">
        <f>IFERROR(__xludf.DUMMYFUNCTION("""COMPUTED_VALUE"""),283.11)</f>
        <v>283.11</v>
      </c>
      <c r="E133" s="4">
        <f>IFERROR(__xludf.DUMMYFUNCTION("""COMPUTED_VALUE"""),44473.66666666667)</f>
        <v>44473.66667</v>
      </c>
      <c r="F133" s="1">
        <f>IFERROR(__xludf.DUMMYFUNCTION("""COMPUTED_VALUE"""),61.72)</f>
        <v>61.72</v>
      </c>
      <c r="G133" s="4">
        <f>IFERROR(__xludf.DUMMYFUNCTION("""COMPUTED_VALUE"""),44473.66666666667)</f>
        <v>44473.66667</v>
      </c>
      <c r="H133" s="1">
        <f>IFERROR(__xludf.DUMMYFUNCTION("""COMPUTED_VALUE"""),104.72)</f>
        <v>104.72</v>
      </c>
      <c r="I133" s="5">
        <f t="shared" si="1"/>
        <v>0.01415840161</v>
      </c>
      <c r="K133" s="5">
        <f t="shared" si="2"/>
        <v>0.01995690721</v>
      </c>
      <c r="L133" s="5">
        <f t="shared" si="3"/>
        <v>-0.00162022035</v>
      </c>
      <c r="M133" s="5">
        <f t="shared" si="4"/>
        <v>0.01088617265</v>
      </c>
      <c r="Q133" s="5"/>
    </row>
    <row r="134">
      <c r="A134" s="4">
        <f>IFERROR(__xludf.DUMMYFUNCTION("""COMPUTED_VALUE"""),44474.66666666667)</f>
        <v>44474.66667</v>
      </c>
      <c r="B134" s="1">
        <f>IFERROR(__xludf.DUMMYFUNCTION("""COMPUTED_VALUE"""),141.11)</f>
        <v>141.11</v>
      </c>
      <c r="C134" s="4">
        <f>IFERROR(__xludf.DUMMYFUNCTION("""COMPUTED_VALUE"""),44474.66666666667)</f>
        <v>44474.66667</v>
      </c>
      <c r="D134" s="1">
        <f>IFERROR(__xludf.DUMMYFUNCTION("""COMPUTED_VALUE"""),288.76)</f>
        <v>288.76</v>
      </c>
      <c r="E134" s="4">
        <f>IFERROR(__xludf.DUMMYFUNCTION("""COMPUTED_VALUE"""),44474.66666666667)</f>
        <v>44474.66667</v>
      </c>
      <c r="F134" s="1">
        <f>IFERROR(__xludf.DUMMYFUNCTION("""COMPUTED_VALUE"""),61.62)</f>
        <v>61.62</v>
      </c>
      <c r="G134" s="4">
        <f>IFERROR(__xludf.DUMMYFUNCTION("""COMPUTED_VALUE"""),44474.66666666667)</f>
        <v>44474.66667</v>
      </c>
      <c r="H134" s="1">
        <f>IFERROR(__xludf.DUMMYFUNCTION("""COMPUTED_VALUE"""),105.86)</f>
        <v>105.86</v>
      </c>
      <c r="I134" s="5">
        <f t="shared" si="1"/>
        <v>0.006307136277</v>
      </c>
      <c r="K134" s="5">
        <f t="shared" si="2"/>
        <v>0.01506441335</v>
      </c>
      <c r="L134" s="5">
        <f t="shared" si="3"/>
        <v>-0.01833820188</v>
      </c>
      <c r="M134" s="5">
        <f t="shared" si="4"/>
        <v>-0.008785187984</v>
      </c>
      <c r="Q134" s="5"/>
    </row>
    <row r="135">
      <c r="A135" s="4">
        <f>IFERROR(__xludf.DUMMYFUNCTION("""COMPUTED_VALUE"""),44475.66666666667)</f>
        <v>44475.66667</v>
      </c>
      <c r="B135" s="1">
        <f>IFERROR(__xludf.DUMMYFUNCTION("""COMPUTED_VALUE"""),142.0)</f>
        <v>142</v>
      </c>
      <c r="C135" s="4">
        <f>IFERROR(__xludf.DUMMYFUNCTION("""COMPUTED_VALUE"""),44475.66666666667)</f>
        <v>44475.66667</v>
      </c>
      <c r="D135" s="1">
        <f>IFERROR(__xludf.DUMMYFUNCTION("""COMPUTED_VALUE"""),293.11)</f>
        <v>293.11</v>
      </c>
      <c r="E135" s="4">
        <f>IFERROR(__xludf.DUMMYFUNCTION("""COMPUTED_VALUE"""),44475.66666666667)</f>
        <v>44475.66667</v>
      </c>
      <c r="F135" s="1">
        <f>IFERROR(__xludf.DUMMYFUNCTION("""COMPUTED_VALUE"""),60.49)</f>
        <v>60.49</v>
      </c>
      <c r="G135" s="4">
        <f>IFERROR(__xludf.DUMMYFUNCTION("""COMPUTED_VALUE"""),44475.66666666667)</f>
        <v>44475.66667</v>
      </c>
      <c r="H135" s="1">
        <f>IFERROR(__xludf.DUMMYFUNCTION("""COMPUTED_VALUE"""),104.93)</f>
        <v>104.93</v>
      </c>
      <c r="I135" s="5">
        <f t="shared" si="1"/>
        <v>0.009084507042</v>
      </c>
      <c r="K135" s="5">
        <f t="shared" si="2"/>
        <v>0.005936337894</v>
      </c>
      <c r="L135" s="5">
        <f t="shared" si="3"/>
        <v>0.002810381881</v>
      </c>
      <c r="M135" s="5">
        <f t="shared" si="4"/>
        <v>0.007147622224</v>
      </c>
      <c r="Q135" s="5"/>
    </row>
    <row r="136">
      <c r="A136" s="4">
        <f>IFERROR(__xludf.DUMMYFUNCTION("""COMPUTED_VALUE"""),44476.66666666667)</f>
        <v>44476.66667</v>
      </c>
      <c r="B136" s="1">
        <f>IFERROR(__xludf.DUMMYFUNCTION("""COMPUTED_VALUE"""),143.29)</f>
        <v>143.29</v>
      </c>
      <c r="C136" s="4">
        <f>IFERROR(__xludf.DUMMYFUNCTION("""COMPUTED_VALUE"""),44476.66666666667)</f>
        <v>44476.66667</v>
      </c>
      <c r="D136" s="1">
        <f>IFERROR(__xludf.DUMMYFUNCTION("""COMPUTED_VALUE"""),294.85)</f>
        <v>294.85</v>
      </c>
      <c r="E136" s="4">
        <f>IFERROR(__xludf.DUMMYFUNCTION("""COMPUTED_VALUE"""),44476.66666666667)</f>
        <v>44476.66667</v>
      </c>
      <c r="F136" s="1">
        <f>IFERROR(__xludf.DUMMYFUNCTION("""COMPUTED_VALUE"""),60.66)</f>
        <v>60.66</v>
      </c>
      <c r="G136" s="4">
        <f>IFERROR(__xludf.DUMMYFUNCTION("""COMPUTED_VALUE"""),44476.66666666667)</f>
        <v>44476.66667</v>
      </c>
      <c r="H136" s="1">
        <f>IFERROR(__xludf.DUMMYFUNCTION("""COMPUTED_VALUE"""),105.68)</f>
        <v>105.68</v>
      </c>
      <c r="I136" s="5">
        <f t="shared" si="1"/>
        <v>-0.002721753088</v>
      </c>
      <c r="K136" s="5">
        <f t="shared" si="2"/>
        <v>0</v>
      </c>
      <c r="L136" s="5">
        <f t="shared" si="3"/>
        <v>0.02505769865</v>
      </c>
      <c r="M136" s="5">
        <f t="shared" si="4"/>
        <v>0.02242619228</v>
      </c>
      <c r="Q136" s="5"/>
    </row>
    <row r="137">
      <c r="A137" s="4">
        <f>IFERROR(__xludf.DUMMYFUNCTION("""COMPUTED_VALUE"""),44477.66666666667)</f>
        <v>44477.66667</v>
      </c>
      <c r="B137" s="1">
        <f>IFERROR(__xludf.DUMMYFUNCTION("""COMPUTED_VALUE"""),142.9)</f>
        <v>142.9</v>
      </c>
      <c r="C137" s="4">
        <f>IFERROR(__xludf.DUMMYFUNCTION("""COMPUTED_VALUE"""),44477.66666666667)</f>
        <v>44477.66667</v>
      </c>
      <c r="D137" s="1">
        <f>IFERROR(__xludf.DUMMYFUNCTION("""COMPUTED_VALUE"""),294.85)</f>
        <v>294.85</v>
      </c>
      <c r="E137" s="4">
        <f>IFERROR(__xludf.DUMMYFUNCTION("""COMPUTED_VALUE"""),44477.66666666667)</f>
        <v>44477.66667</v>
      </c>
      <c r="F137" s="1">
        <f>IFERROR(__xludf.DUMMYFUNCTION("""COMPUTED_VALUE"""),62.18)</f>
        <v>62.18</v>
      </c>
      <c r="G137" s="4">
        <f>IFERROR(__xludf.DUMMYFUNCTION("""COMPUTED_VALUE"""),44477.66666666667)</f>
        <v>44477.66667</v>
      </c>
      <c r="H137" s="1">
        <f>IFERROR(__xludf.DUMMYFUNCTION("""COMPUTED_VALUE"""),108.05)</f>
        <v>108.05</v>
      </c>
      <c r="I137" s="5">
        <f t="shared" si="1"/>
        <v>-0.0006298110567</v>
      </c>
      <c r="K137" s="5">
        <f t="shared" si="2"/>
        <v>-0.002102764117</v>
      </c>
      <c r="L137" s="5">
        <f t="shared" si="3"/>
        <v>-0.009971051785</v>
      </c>
      <c r="M137" s="5">
        <f t="shared" si="4"/>
        <v>-0.008514576585</v>
      </c>
      <c r="Q137" s="5"/>
    </row>
    <row r="138">
      <c r="A138" s="4">
        <f>IFERROR(__xludf.DUMMYFUNCTION("""COMPUTED_VALUE"""),44480.66666666667)</f>
        <v>44480.66667</v>
      </c>
      <c r="B138" s="1">
        <f>IFERROR(__xludf.DUMMYFUNCTION("""COMPUTED_VALUE"""),142.81)</f>
        <v>142.81</v>
      </c>
      <c r="C138" s="4">
        <f>IFERROR(__xludf.DUMMYFUNCTION("""COMPUTED_VALUE"""),44480.66666666667)</f>
        <v>44480.66667</v>
      </c>
      <c r="D138" s="1">
        <f>IFERROR(__xludf.DUMMYFUNCTION("""COMPUTED_VALUE"""),294.23)</f>
        <v>294.23</v>
      </c>
      <c r="E138" s="4">
        <f>IFERROR(__xludf.DUMMYFUNCTION("""COMPUTED_VALUE"""),44480.66666666667)</f>
        <v>44480.66667</v>
      </c>
      <c r="F138" s="1">
        <f>IFERROR(__xludf.DUMMYFUNCTION("""COMPUTED_VALUE"""),61.56)</f>
        <v>61.56</v>
      </c>
      <c r="G138" s="4">
        <f>IFERROR(__xludf.DUMMYFUNCTION("""COMPUTED_VALUE"""),44480.66666666667)</f>
        <v>44480.66667</v>
      </c>
      <c r="H138" s="1">
        <f>IFERROR(__xludf.DUMMYFUNCTION("""COMPUTED_VALUE"""),107.13)</f>
        <v>107.13</v>
      </c>
      <c r="I138" s="5">
        <f t="shared" si="1"/>
        <v>-0.009103003991</v>
      </c>
      <c r="K138" s="5">
        <f t="shared" si="2"/>
        <v>-0.00458824729</v>
      </c>
      <c r="L138" s="5">
        <f t="shared" si="3"/>
        <v>-0.005198180637</v>
      </c>
      <c r="M138" s="5">
        <f t="shared" si="4"/>
        <v>0.0001866890694</v>
      </c>
      <c r="Q138" s="5"/>
    </row>
    <row r="139">
      <c r="A139" s="4">
        <f>IFERROR(__xludf.DUMMYFUNCTION("""COMPUTED_VALUE"""),44481.66666666667)</f>
        <v>44481.66667</v>
      </c>
      <c r="B139" s="1">
        <f>IFERROR(__xludf.DUMMYFUNCTION("""COMPUTED_VALUE"""),141.51)</f>
        <v>141.51</v>
      </c>
      <c r="C139" s="4">
        <f>IFERROR(__xludf.DUMMYFUNCTION("""COMPUTED_VALUE"""),44481.66666666667)</f>
        <v>44481.66667</v>
      </c>
      <c r="D139" s="1">
        <f>IFERROR(__xludf.DUMMYFUNCTION("""COMPUTED_VALUE"""),292.88)</f>
        <v>292.88</v>
      </c>
      <c r="E139" s="4">
        <f>IFERROR(__xludf.DUMMYFUNCTION("""COMPUTED_VALUE"""),44481.66666666667)</f>
        <v>44481.66667</v>
      </c>
      <c r="F139" s="1">
        <f>IFERROR(__xludf.DUMMYFUNCTION("""COMPUTED_VALUE"""),61.24)</f>
        <v>61.24</v>
      </c>
      <c r="G139" s="4">
        <f>IFERROR(__xludf.DUMMYFUNCTION("""COMPUTED_VALUE"""),44481.66666666667)</f>
        <v>44481.66667</v>
      </c>
      <c r="H139" s="1">
        <f>IFERROR(__xludf.DUMMYFUNCTION("""COMPUTED_VALUE"""),107.15)</f>
        <v>107.15</v>
      </c>
      <c r="I139" s="5">
        <f t="shared" si="1"/>
        <v>-0.00423998304</v>
      </c>
      <c r="K139" s="5">
        <f t="shared" si="2"/>
        <v>0.01171128107</v>
      </c>
      <c r="L139" s="5">
        <f t="shared" si="3"/>
        <v>-0.002775963423</v>
      </c>
      <c r="M139" s="5">
        <f t="shared" si="4"/>
        <v>0.005972935138</v>
      </c>
      <c r="Q139" s="5"/>
    </row>
    <row r="140">
      <c r="A140" s="4">
        <f>IFERROR(__xludf.DUMMYFUNCTION("""COMPUTED_VALUE"""),44482.66666666667)</f>
        <v>44482.66667</v>
      </c>
      <c r="B140" s="1">
        <f>IFERROR(__xludf.DUMMYFUNCTION("""COMPUTED_VALUE"""),140.91)</f>
        <v>140.91</v>
      </c>
      <c r="C140" s="4">
        <f>IFERROR(__xludf.DUMMYFUNCTION("""COMPUTED_VALUE"""),44482.66666666667)</f>
        <v>44482.66667</v>
      </c>
      <c r="D140" s="1">
        <f>IFERROR(__xludf.DUMMYFUNCTION("""COMPUTED_VALUE"""),296.31)</f>
        <v>296.31</v>
      </c>
      <c r="E140" s="4">
        <f>IFERROR(__xludf.DUMMYFUNCTION("""COMPUTED_VALUE"""),44482.66666666667)</f>
        <v>44482.66667</v>
      </c>
      <c r="F140" s="1">
        <f>IFERROR(__xludf.DUMMYFUNCTION("""COMPUTED_VALUE"""),61.07)</f>
        <v>61.07</v>
      </c>
      <c r="G140" s="4">
        <f>IFERROR(__xludf.DUMMYFUNCTION("""COMPUTED_VALUE"""),44482.66666666667)</f>
        <v>44482.66667</v>
      </c>
      <c r="H140" s="1">
        <f>IFERROR(__xludf.DUMMYFUNCTION("""COMPUTED_VALUE"""),107.79)</f>
        <v>107.79</v>
      </c>
      <c r="I140" s="5">
        <f t="shared" si="1"/>
        <v>0.02022567596</v>
      </c>
      <c r="K140" s="5">
        <f t="shared" si="2"/>
        <v>0.0217339948</v>
      </c>
      <c r="L140" s="5">
        <f t="shared" si="3"/>
        <v>0.0152284264</v>
      </c>
      <c r="M140" s="5">
        <f t="shared" si="4"/>
        <v>0.00946284442</v>
      </c>
      <c r="Q140" s="5"/>
    </row>
    <row r="141">
      <c r="A141" s="4">
        <f>IFERROR(__xludf.DUMMYFUNCTION("""COMPUTED_VALUE"""),44483.66666666667)</f>
        <v>44483.66667</v>
      </c>
      <c r="B141" s="1">
        <f>IFERROR(__xludf.DUMMYFUNCTION("""COMPUTED_VALUE"""),143.76)</f>
        <v>143.76</v>
      </c>
      <c r="C141" s="4">
        <f>IFERROR(__xludf.DUMMYFUNCTION("""COMPUTED_VALUE"""),44483.66666666667)</f>
        <v>44483.66667</v>
      </c>
      <c r="D141" s="1">
        <f>IFERROR(__xludf.DUMMYFUNCTION("""COMPUTED_VALUE"""),302.75)</f>
        <v>302.75</v>
      </c>
      <c r="E141" s="4">
        <f>IFERROR(__xludf.DUMMYFUNCTION("""COMPUTED_VALUE"""),44483.66666666667)</f>
        <v>44483.66667</v>
      </c>
      <c r="F141" s="1">
        <f>IFERROR(__xludf.DUMMYFUNCTION("""COMPUTED_VALUE"""),62.0)</f>
        <v>62</v>
      </c>
      <c r="G141" s="4">
        <f>IFERROR(__xludf.DUMMYFUNCTION("""COMPUTED_VALUE"""),44483.66666666667)</f>
        <v>44483.66667</v>
      </c>
      <c r="H141" s="1">
        <f>IFERROR(__xludf.DUMMYFUNCTION("""COMPUTED_VALUE"""),108.81)</f>
        <v>108.81</v>
      </c>
      <c r="I141" s="5">
        <f t="shared" si="1"/>
        <v>0.007512520868</v>
      </c>
      <c r="K141" s="5">
        <f t="shared" si="2"/>
        <v>0.004822460776</v>
      </c>
      <c r="L141" s="5">
        <f t="shared" si="3"/>
        <v>0.009516129032</v>
      </c>
      <c r="M141" s="5">
        <f t="shared" si="4"/>
        <v>0.007352265417</v>
      </c>
      <c r="Q141" s="5"/>
    </row>
    <row r="142">
      <c r="A142" s="4">
        <f>IFERROR(__xludf.DUMMYFUNCTION("""COMPUTED_VALUE"""),44484.66666666667)</f>
        <v>44484.66667</v>
      </c>
      <c r="B142" s="1">
        <f>IFERROR(__xludf.DUMMYFUNCTION("""COMPUTED_VALUE"""),144.84)</f>
        <v>144.84</v>
      </c>
      <c r="C142" s="4">
        <f>IFERROR(__xludf.DUMMYFUNCTION("""COMPUTED_VALUE"""),44484.66666666667)</f>
        <v>44484.66667</v>
      </c>
      <c r="D142" s="1">
        <f>IFERROR(__xludf.DUMMYFUNCTION("""COMPUTED_VALUE"""),304.21)</f>
        <v>304.21</v>
      </c>
      <c r="E142" s="4">
        <f>IFERROR(__xludf.DUMMYFUNCTION("""COMPUTED_VALUE"""),44484.66666666667)</f>
        <v>44484.66667</v>
      </c>
      <c r="F142" s="1">
        <f>IFERROR(__xludf.DUMMYFUNCTION("""COMPUTED_VALUE"""),62.59)</f>
        <v>62.59</v>
      </c>
      <c r="G142" s="4">
        <f>IFERROR(__xludf.DUMMYFUNCTION("""COMPUTED_VALUE"""),44484.66666666667)</f>
        <v>44484.66667</v>
      </c>
      <c r="H142" s="1">
        <f>IFERROR(__xludf.DUMMYFUNCTION("""COMPUTED_VALUE"""),109.61)</f>
        <v>109.61</v>
      </c>
      <c r="I142" s="5">
        <f t="shared" si="1"/>
        <v>0.0118061309</v>
      </c>
      <c r="K142" s="5">
        <f t="shared" si="2"/>
        <v>0.01012458499</v>
      </c>
      <c r="L142" s="5">
        <f t="shared" si="3"/>
        <v>-0.0004793097939</v>
      </c>
      <c r="M142" s="5">
        <f t="shared" si="4"/>
        <v>-0.0004561627589</v>
      </c>
      <c r="Q142" s="5"/>
    </row>
    <row r="143">
      <c r="A143" s="4">
        <f>IFERROR(__xludf.DUMMYFUNCTION("""COMPUTED_VALUE"""),44487.66666666667)</f>
        <v>44487.66667</v>
      </c>
      <c r="B143" s="1">
        <f>IFERROR(__xludf.DUMMYFUNCTION("""COMPUTED_VALUE"""),146.55)</f>
        <v>146.55</v>
      </c>
      <c r="C143" s="4">
        <f>IFERROR(__xludf.DUMMYFUNCTION("""COMPUTED_VALUE"""),44487.66666666667)</f>
        <v>44487.66667</v>
      </c>
      <c r="D143" s="1">
        <f>IFERROR(__xludf.DUMMYFUNCTION("""COMPUTED_VALUE"""),307.29)</f>
        <v>307.29</v>
      </c>
      <c r="E143" s="4">
        <f>IFERROR(__xludf.DUMMYFUNCTION("""COMPUTED_VALUE"""),44487.66666666667)</f>
        <v>44487.66667</v>
      </c>
      <c r="F143" s="1">
        <f>IFERROR(__xludf.DUMMYFUNCTION("""COMPUTED_VALUE"""),62.56)</f>
        <v>62.56</v>
      </c>
      <c r="G143" s="4">
        <f>IFERROR(__xludf.DUMMYFUNCTION("""COMPUTED_VALUE"""),44487.66666666667)</f>
        <v>44487.66667</v>
      </c>
      <c r="H143" s="1">
        <f>IFERROR(__xludf.DUMMYFUNCTION("""COMPUTED_VALUE"""),109.56)</f>
        <v>109.56</v>
      </c>
      <c r="I143" s="5">
        <f t="shared" si="1"/>
        <v>0.01508017741</v>
      </c>
      <c r="K143" s="5">
        <f t="shared" si="2"/>
        <v>0.003058999642</v>
      </c>
      <c r="L143" s="5">
        <f t="shared" si="3"/>
        <v>0.01502557545</v>
      </c>
      <c r="M143" s="5">
        <f t="shared" si="4"/>
        <v>0.01953267616</v>
      </c>
      <c r="Q143" s="5"/>
    </row>
    <row r="144">
      <c r="A144" s="4">
        <f>IFERROR(__xludf.DUMMYFUNCTION("""COMPUTED_VALUE"""),44488.66666666667)</f>
        <v>44488.66667</v>
      </c>
      <c r="B144" s="1">
        <f>IFERROR(__xludf.DUMMYFUNCTION("""COMPUTED_VALUE"""),148.76)</f>
        <v>148.76</v>
      </c>
      <c r="C144" s="4">
        <f>IFERROR(__xludf.DUMMYFUNCTION("""COMPUTED_VALUE"""),44488.66666666667)</f>
        <v>44488.66667</v>
      </c>
      <c r="D144" s="1">
        <f>IFERROR(__xludf.DUMMYFUNCTION("""COMPUTED_VALUE"""),308.23)</f>
        <v>308.23</v>
      </c>
      <c r="E144" s="4">
        <f>IFERROR(__xludf.DUMMYFUNCTION("""COMPUTED_VALUE"""),44488.66666666667)</f>
        <v>44488.66667</v>
      </c>
      <c r="F144" s="1">
        <f>IFERROR(__xludf.DUMMYFUNCTION("""COMPUTED_VALUE"""),63.5)</f>
        <v>63.5</v>
      </c>
      <c r="G144" s="4">
        <f>IFERROR(__xludf.DUMMYFUNCTION("""COMPUTED_VALUE"""),44488.66666666667)</f>
        <v>44488.66667</v>
      </c>
      <c r="H144" s="1">
        <f>IFERROR(__xludf.DUMMYFUNCTION("""COMPUTED_VALUE"""),111.7)</f>
        <v>111.7</v>
      </c>
      <c r="I144" s="5">
        <f t="shared" si="1"/>
        <v>0.00336111858</v>
      </c>
      <c r="K144" s="5">
        <f t="shared" si="2"/>
        <v>-0.002660351037</v>
      </c>
      <c r="L144" s="5">
        <f t="shared" si="3"/>
        <v>0.005511811024</v>
      </c>
      <c r="M144" s="5">
        <f t="shared" si="4"/>
        <v>0.01307072516</v>
      </c>
      <c r="Q144" s="5"/>
    </row>
    <row r="145">
      <c r="A145" s="4">
        <f>IFERROR(__xludf.DUMMYFUNCTION("""COMPUTED_VALUE"""),44489.66666666667)</f>
        <v>44489.66667</v>
      </c>
      <c r="B145" s="1">
        <f>IFERROR(__xludf.DUMMYFUNCTION("""COMPUTED_VALUE"""),149.26)</f>
        <v>149.26</v>
      </c>
      <c r="C145" s="4">
        <f>IFERROR(__xludf.DUMMYFUNCTION("""COMPUTED_VALUE"""),44489.66666666667)</f>
        <v>44489.66667</v>
      </c>
      <c r="D145" s="1">
        <f>IFERROR(__xludf.DUMMYFUNCTION("""COMPUTED_VALUE"""),307.41)</f>
        <v>307.41</v>
      </c>
      <c r="E145" s="4">
        <f>IFERROR(__xludf.DUMMYFUNCTION("""COMPUTED_VALUE"""),44489.66666666667)</f>
        <v>44489.66667</v>
      </c>
      <c r="F145" s="1">
        <f>IFERROR(__xludf.DUMMYFUNCTION("""COMPUTED_VALUE"""),63.85)</f>
        <v>63.85</v>
      </c>
      <c r="G145" s="4">
        <f>IFERROR(__xludf.DUMMYFUNCTION("""COMPUTED_VALUE"""),44489.66666666667)</f>
        <v>44489.66667</v>
      </c>
      <c r="H145" s="1">
        <f>IFERROR(__xludf.DUMMYFUNCTION("""COMPUTED_VALUE"""),113.16)</f>
        <v>113.16</v>
      </c>
      <c r="I145" s="5">
        <f t="shared" si="1"/>
        <v>0.001473938095</v>
      </c>
      <c r="K145" s="5">
        <f t="shared" si="2"/>
        <v>0.01089749845</v>
      </c>
      <c r="L145" s="5">
        <f t="shared" si="3"/>
        <v>-0.01816758027</v>
      </c>
      <c r="M145" s="5">
        <f t="shared" si="4"/>
        <v>-0.01254860375</v>
      </c>
      <c r="Q145" s="5"/>
    </row>
    <row r="146">
      <c r="A146" s="4">
        <f>IFERROR(__xludf.DUMMYFUNCTION("""COMPUTED_VALUE"""),44490.66666666667)</f>
        <v>44490.66667</v>
      </c>
      <c r="B146" s="1">
        <f>IFERROR(__xludf.DUMMYFUNCTION("""COMPUTED_VALUE"""),149.48)</f>
        <v>149.48</v>
      </c>
      <c r="C146" s="4">
        <f>IFERROR(__xludf.DUMMYFUNCTION("""COMPUTED_VALUE"""),44490.66666666667)</f>
        <v>44490.66667</v>
      </c>
      <c r="D146" s="1">
        <f>IFERROR(__xludf.DUMMYFUNCTION("""COMPUTED_VALUE"""),310.76)</f>
        <v>310.76</v>
      </c>
      <c r="E146" s="4">
        <f>IFERROR(__xludf.DUMMYFUNCTION("""COMPUTED_VALUE"""),44490.66666666667)</f>
        <v>44490.66667</v>
      </c>
      <c r="F146" s="1">
        <f>IFERROR(__xludf.DUMMYFUNCTION("""COMPUTED_VALUE"""),62.69)</f>
        <v>62.69</v>
      </c>
      <c r="G146" s="4">
        <f>IFERROR(__xludf.DUMMYFUNCTION("""COMPUTED_VALUE"""),44490.66666666667)</f>
        <v>44490.66667</v>
      </c>
      <c r="H146" s="1">
        <f>IFERROR(__xludf.DUMMYFUNCTION("""COMPUTED_VALUE"""),111.74)</f>
        <v>111.74</v>
      </c>
      <c r="I146" s="5">
        <f t="shared" si="1"/>
        <v>-0.005284987958</v>
      </c>
      <c r="K146" s="5">
        <f t="shared" si="2"/>
        <v>-0.005148667782</v>
      </c>
      <c r="L146" s="5">
        <f t="shared" si="3"/>
        <v>0.00685914819</v>
      </c>
      <c r="M146" s="5">
        <f t="shared" si="4"/>
        <v>0.0094863075</v>
      </c>
      <c r="Q146" s="5"/>
    </row>
    <row r="147">
      <c r="A147" s="4">
        <f>IFERROR(__xludf.DUMMYFUNCTION("""COMPUTED_VALUE"""),44491.66666666667)</f>
        <v>44491.66667</v>
      </c>
      <c r="B147" s="1">
        <f>IFERROR(__xludf.DUMMYFUNCTION("""COMPUTED_VALUE"""),148.69)</f>
        <v>148.69</v>
      </c>
      <c r="C147" s="4">
        <f>IFERROR(__xludf.DUMMYFUNCTION("""COMPUTED_VALUE"""),44491.66666666667)</f>
        <v>44491.66667</v>
      </c>
      <c r="D147" s="1">
        <f>IFERROR(__xludf.DUMMYFUNCTION("""COMPUTED_VALUE"""),309.16)</f>
        <v>309.16</v>
      </c>
      <c r="E147" s="4">
        <f>IFERROR(__xludf.DUMMYFUNCTION("""COMPUTED_VALUE"""),44491.66666666667)</f>
        <v>44491.66667</v>
      </c>
      <c r="F147" s="1">
        <f>IFERROR(__xludf.DUMMYFUNCTION("""COMPUTED_VALUE"""),63.12)</f>
        <v>63.12</v>
      </c>
      <c r="G147" s="4">
        <f>IFERROR(__xludf.DUMMYFUNCTION("""COMPUTED_VALUE"""),44491.66666666667)</f>
        <v>44491.66667</v>
      </c>
      <c r="H147" s="1">
        <f>IFERROR(__xludf.DUMMYFUNCTION("""COMPUTED_VALUE"""),112.8)</f>
        <v>112.8</v>
      </c>
      <c r="I147" s="5">
        <f t="shared" si="1"/>
        <v>-0.0003362700921</v>
      </c>
      <c r="K147" s="5">
        <f t="shared" si="2"/>
        <v>-0.003331608229</v>
      </c>
      <c r="L147" s="5">
        <f t="shared" si="3"/>
        <v>0.01948669202</v>
      </c>
      <c r="M147" s="5">
        <f t="shared" si="4"/>
        <v>0.009308510638</v>
      </c>
      <c r="Q147" s="5"/>
    </row>
    <row r="148">
      <c r="A148" s="4">
        <f>IFERROR(__xludf.DUMMYFUNCTION("""COMPUTED_VALUE"""),44494.66666666667)</f>
        <v>44494.66667</v>
      </c>
      <c r="B148" s="1">
        <f>IFERROR(__xludf.DUMMYFUNCTION("""COMPUTED_VALUE"""),148.64)</f>
        <v>148.64</v>
      </c>
      <c r="C148" s="4">
        <f>IFERROR(__xludf.DUMMYFUNCTION("""COMPUTED_VALUE"""),44494.66666666667)</f>
        <v>44494.66667</v>
      </c>
      <c r="D148" s="1">
        <f>IFERROR(__xludf.DUMMYFUNCTION("""COMPUTED_VALUE"""),308.13)</f>
        <v>308.13</v>
      </c>
      <c r="E148" s="4">
        <f>IFERROR(__xludf.DUMMYFUNCTION("""COMPUTED_VALUE"""),44494.66666666667)</f>
        <v>44494.66667</v>
      </c>
      <c r="F148" s="1">
        <f>IFERROR(__xludf.DUMMYFUNCTION("""COMPUTED_VALUE"""),64.35)</f>
        <v>64.35</v>
      </c>
      <c r="G148" s="4">
        <f>IFERROR(__xludf.DUMMYFUNCTION("""COMPUTED_VALUE"""),44494.66666666667)</f>
        <v>44494.66667</v>
      </c>
      <c r="H148" s="1">
        <f>IFERROR(__xludf.DUMMYFUNCTION("""COMPUTED_VALUE"""),113.85)</f>
        <v>113.85</v>
      </c>
      <c r="I148" s="5">
        <f t="shared" si="1"/>
        <v>0.004574811625</v>
      </c>
      <c r="K148" s="5">
        <f t="shared" si="2"/>
        <v>0.006425859215</v>
      </c>
      <c r="L148" s="5">
        <f t="shared" si="3"/>
        <v>0.02315462315</v>
      </c>
      <c r="M148" s="5">
        <f t="shared" si="4"/>
        <v>0.002195871761</v>
      </c>
      <c r="Q148" s="5"/>
    </row>
    <row r="149">
      <c r="A149" s="4">
        <f>IFERROR(__xludf.DUMMYFUNCTION("""COMPUTED_VALUE"""),44495.66666666667)</f>
        <v>44495.66667</v>
      </c>
      <c r="B149" s="1">
        <f>IFERROR(__xludf.DUMMYFUNCTION("""COMPUTED_VALUE"""),149.32)</f>
        <v>149.32</v>
      </c>
      <c r="C149" s="4">
        <f>IFERROR(__xludf.DUMMYFUNCTION("""COMPUTED_VALUE"""),44495.66666666667)</f>
        <v>44495.66667</v>
      </c>
      <c r="D149" s="1">
        <f>IFERROR(__xludf.DUMMYFUNCTION("""COMPUTED_VALUE"""),310.11)</f>
        <v>310.11</v>
      </c>
      <c r="E149" s="4">
        <f>IFERROR(__xludf.DUMMYFUNCTION("""COMPUTED_VALUE"""),44495.66666666667)</f>
        <v>44495.66667</v>
      </c>
      <c r="F149" s="1">
        <f>IFERROR(__xludf.DUMMYFUNCTION("""COMPUTED_VALUE"""),65.84)</f>
        <v>65.84</v>
      </c>
      <c r="G149" s="4">
        <f>IFERROR(__xludf.DUMMYFUNCTION("""COMPUTED_VALUE"""),44495.66666666667)</f>
        <v>44495.66667</v>
      </c>
      <c r="H149" s="1">
        <f>IFERROR(__xludf.DUMMYFUNCTION("""COMPUTED_VALUE"""),114.1)</f>
        <v>114.1</v>
      </c>
      <c r="I149" s="5">
        <f t="shared" si="1"/>
        <v>-0.003147602465</v>
      </c>
      <c r="K149" s="5">
        <f t="shared" si="2"/>
        <v>0.04211408855</v>
      </c>
      <c r="L149" s="5">
        <f t="shared" si="3"/>
        <v>-0.02597205346</v>
      </c>
      <c r="M149" s="5">
        <f t="shared" si="4"/>
        <v>-0.01779141104</v>
      </c>
      <c r="Q149" s="5"/>
    </row>
    <row r="150">
      <c r="A150" s="4">
        <f>IFERROR(__xludf.DUMMYFUNCTION("""COMPUTED_VALUE"""),44496.66666666667)</f>
        <v>44496.66667</v>
      </c>
      <c r="B150" s="1">
        <f>IFERROR(__xludf.DUMMYFUNCTION("""COMPUTED_VALUE"""),148.85)</f>
        <v>148.85</v>
      </c>
      <c r="C150" s="4">
        <f>IFERROR(__xludf.DUMMYFUNCTION("""COMPUTED_VALUE"""),44496.66666666667)</f>
        <v>44496.66667</v>
      </c>
      <c r="D150" s="1">
        <f>IFERROR(__xludf.DUMMYFUNCTION("""COMPUTED_VALUE"""),323.17)</f>
        <v>323.17</v>
      </c>
      <c r="E150" s="4">
        <f>IFERROR(__xludf.DUMMYFUNCTION("""COMPUTED_VALUE"""),44496.66666666667)</f>
        <v>44496.66667</v>
      </c>
      <c r="F150" s="1">
        <f>IFERROR(__xludf.DUMMYFUNCTION("""COMPUTED_VALUE"""),64.13)</f>
        <v>64.13</v>
      </c>
      <c r="G150" s="4">
        <f>IFERROR(__xludf.DUMMYFUNCTION("""COMPUTED_VALUE"""),44496.66666666667)</f>
        <v>44496.66667</v>
      </c>
      <c r="H150" s="1">
        <f>IFERROR(__xludf.DUMMYFUNCTION("""COMPUTED_VALUE"""),112.07)</f>
        <v>112.07</v>
      </c>
      <c r="I150" s="5">
        <f t="shared" si="1"/>
        <v>0.02499160228</v>
      </c>
      <c r="K150" s="5">
        <f t="shared" si="2"/>
        <v>0.003651329022</v>
      </c>
      <c r="L150" s="5">
        <f t="shared" si="3"/>
        <v>0.00280679869</v>
      </c>
      <c r="M150" s="5">
        <f t="shared" si="4"/>
        <v>0.009369144285</v>
      </c>
      <c r="Q150" s="5"/>
    </row>
    <row r="151">
      <c r="A151" s="4">
        <f>IFERROR(__xludf.DUMMYFUNCTION("""COMPUTED_VALUE"""),44497.66666666667)</f>
        <v>44497.66667</v>
      </c>
      <c r="B151" s="1">
        <f>IFERROR(__xludf.DUMMYFUNCTION("""COMPUTED_VALUE"""),152.57)</f>
        <v>152.57</v>
      </c>
      <c r="C151" s="4">
        <f>IFERROR(__xludf.DUMMYFUNCTION("""COMPUTED_VALUE"""),44497.66666666667)</f>
        <v>44497.66667</v>
      </c>
      <c r="D151" s="1">
        <f>IFERROR(__xludf.DUMMYFUNCTION("""COMPUTED_VALUE"""),324.35)</f>
        <v>324.35</v>
      </c>
      <c r="E151" s="4">
        <f>IFERROR(__xludf.DUMMYFUNCTION("""COMPUTED_VALUE"""),44497.66666666667)</f>
        <v>44497.66667</v>
      </c>
      <c r="F151" s="1">
        <f>IFERROR(__xludf.DUMMYFUNCTION("""COMPUTED_VALUE"""),64.31)</f>
        <v>64.31</v>
      </c>
      <c r="G151" s="4">
        <f>IFERROR(__xludf.DUMMYFUNCTION("""COMPUTED_VALUE"""),44497.66666666667)</f>
        <v>44497.66667</v>
      </c>
      <c r="H151" s="1">
        <f>IFERROR(__xludf.DUMMYFUNCTION("""COMPUTED_VALUE"""),113.12)</f>
        <v>113.12</v>
      </c>
      <c r="I151" s="5">
        <f t="shared" si="1"/>
        <v>-0.01815560071</v>
      </c>
      <c r="K151" s="5">
        <f t="shared" si="2"/>
        <v>0.02241405889</v>
      </c>
      <c r="L151" s="5">
        <f t="shared" si="3"/>
        <v>0.002487948997</v>
      </c>
      <c r="M151" s="5">
        <f t="shared" si="4"/>
        <v>0.01211103253</v>
      </c>
      <c r="Q151" s="5"/>
    </row>
    <row r="152">
      <c r="A152" s="4">
        <f>IFERROR(__xludf.DUMMYFUNCTION("""COMPUTED_VALUE"""),44498.66666666667)</f>
        <v>44498.66667</v>
      </c>
      <c r="B152" s="1">
        <f>IFERROR(__xludf.DUMMYFUNCTION("""COMPUTED_VALUE"""),149.8)</f>
        <v>149.8</v>
      </c>
      <c r="C152" s="4">
        <f>IFERROR(__xludf.DUMMYFUNCTION("""COMPUTED_VALUE"""),44498.66666666667)</f>
        <v>44498.66667</v>
      </c>
      <c r="D152" s="1">
        <f>IFERROR(__xludf.DUMMYFUNCTION("""COMPUTED_VALUE"""),331.62)</f>
        <v>331.62</v>
      </c>
      <c r="E152" s="4">
        <f>IFERROR(__xludf.DUMMYFUNCTION("""COMPUTED_VALUE"""),44498.66666666667)</f>
        <v>44498.66667</v>
      </c>
      <c r="F152" s="1">
        <f>IFERROR(__xludf.DUMMYFUNCTION("""COMPUTED_VALUE"""),64.47)</f>
        <v>64.47</v>
      </c>
      <c r="G152" s="4">
        <f>IFERROR(__xludf.DUMMYFUNCTION("""COMPUTED_VALUE"""),44498.66666666667)</f>
        <v>44498.66667</v>
      </c>
      <c r="H152" s="1">
        <f>IFERROR(__xludf.DUMMYFUNCTION("""COMPUTED_VALUE"""),114.49)</f>
        <v>114.49</v>
      </c>
      <c r="I152" s="5">
        <f t="shared" si="1"/>
        <v>-0.005607476636</v>
      </c>
      <c r="K152" s="5">
        <f t="shared" si="2"/>
        <v>-0.006784874254</v>
      </c>
      <c r="L152" s="5">
        <f t="shared" si="3"/>
        <v>0.0179928649</v>
      </c>
      <c r="M152" s="5">
        <f t="shared" si="4"/>
        <v>0.0003493754913</v>
      </c>
      <c r="Q152" s="5"/>
    </row>
    <row r="153">
      <c r="A153" s="4">
        <f>IFERROR(__xludf.DUMMYFUNCTION("""COMPUTED_VALUE"""),44501.66666666667)</f>
        <v>44501.66667</v>
      </c>
      <c r="B153" s="1">
        <f>IFERROR(__xludf.DUMMYFUNCTION("""COMPUTED_VALUE"""),148.96)</f>
        <v>148.96</v>
      </c>
      <c r="C153" s="4">
        <f>IFERROR(__xludf.DUMMYFUNCTION("""COMPUTED_VALUE"""),44501.66666666667)</f>
        <v>44501.66667</v>
      </c>
      <c r="D153" s="1">
        <f>IFERROR(__xludf.DUMMYFUNCTION("""COMPUTED_VALUE"""),329.37)</f>
        <v>329.37</v>
      </c>
      <c r="E153" s="4">
        <f>IFERROR(__xludf.DUMMYFUNCTION("""COMPUTED_VALUE"""),44501.66666666667)</f>
        <v>44501.66667</v>
      </c>
      <c r="F153" s="1">
        <f>IFERROR(__xludf.DUMMYFUNCTION("""COMPUTED_VALUE"""),65.63)</f>
        <v>65.63</v>
      </c>
      <c r="G153" s="4">
        <f>IFERROR(__xludf.DUMMYFUNCTION("""COMPUTED_VALUE"""),44501.66666666667)</f>
        <v>44501.66667</v>
      </c>
      <c r="H153" s="1">
        <f>IFERROR(__xludf.DUMMYFUNCTION("""COMPUTED_VALUE"""),114.53)</f>
        <v>114.53</v>
      </c>
      <c r="I153" s="5">
        <f t="shared" si="1"/>
        <v>0.007116004296</v>
      </c>
      <c r="K153" s="5">
        <f t="shared" si="2"/>
        <v>0.01141573307</v>
      </c>
      <c r="L153" s="5">
        <f t="shared" si="3"/>
        <v>-0.01234191681</v>
      </c>
      <c r="M153" s="5">
        <f t="shared" si="4"/>
        <v>-0.006111935737</v>
      </c>
      <c r="Q153" s="5"/>
    </row>
    <row r="154">
      <c r="A154" s="4">
        <f>IFERROR(__xludf.DUMMYFUNCTION("""COMPUTED_VALUE"""),44502.66666666667)</f>
        <v>44502.66667</v>
      </c>
      <c r="B154" s="1">
        <f>IFERROR(__xludf.DUMMYFUNCTION("""COMPUTED_VALUE"""),150.02)</f>
        <v>150.02</v>
      </c>
      <c r="C154" s="4">
        <f>IFERROR(__xludf.DUMMYFUNCTION("""COMPUTED_VALUE"""),44502.66666666667)</f>
        <v>44502.66667</v>
      </c>
      <c r="D154" s="1">
        <f>IFERROR(__xludf.DUMMYFUNCTION("""COMPUTED_VALUE"""),333.13)</f>
        <v>333.13</v>
      </c>
      <c r="E154" s="4">
        <f>IFERROR(__xludf.DUMMYFUNCTION("""COMPUTED_VALUE"""),44502.66666666667)</f>
        <v>44502.66667</v>
      </c>
      <c r="F154" s="1">
        <f>IFERROR(__xludf.DUMMYFUNCTION("""COMPUTED_VALUE"""),64.82)</f>
        <v>64.82</v>
      </c>
      <c r="G154" s="4">
        <f>IFERROR(__xludf.DUMMYFUNCTION("""COMPUTED_VALUE"""),44502.66666666667)</f>
        <v>44502.66667</v>
      </c>
      <c r="H154" s="1">
        <f>IFERROR(__xludf.DUMMYFUNCTION("""COMPUTED_VALUE"""),113.83)</f>
        <v>113.83</v>
      </c>
      <c r="I154" s="5">
        <f t="shared" si="1"/>
        <v>0.009798693508</v>
      </c>
      <c r="K154" s="5">
        <f t="shared" si="2"/>
        <v>0.002611593072</v>
      </c>
      <c r="L154" s="5">
        <f t="shared" si="3"/>
        <v>-0.01373033015</v>
      </c>
      <c r="M154" s="5">
        <f t="shared" si="4"/>
        <v>-0.007203724853</v>
      </c>
      <c r="Q154" s="5"/>
    </row>
    <row r="155">
      <c r="A155" s="4">
        <f>IFERROR(__xludf.DUMMYFUNCTION("""COMPUTED_VALUE"""),44503.66666666667)</f>
        <v>44503.66667</v>
      </c>
      <c r="B155" s="1">
        <f>IFERROR(__xludf.DUMMYFUNCTION("""COMPUTED_VALUE"""),151.49)</f>
        <v>151.49</v>
      </c>
      <c r="C155" s="4">
        <f>IFERROR(__xludf.DUMMYFUNCTION("""COMPUTED_VALUE"""),44503.66666666667)</f>
        <v>44503.66667</v>
      </c>
      <c r="D155" s="1">
        <f>IFERROR(__xludf.DUMMYFUNCTION("""COMPUTED_VALUE"""),334.0)</f>
        <v>334</v>
      </c>
      <c r="E155" s="4">
        <f>IFERROR(__xludf.DUMMYFUNCTION("""COMPUTED_VALUE"""),44503.66666666667)</f>
        <v>44503.66667</v>
      </c>
      <c r="F155" s="1">
        <f>IFERROR(__xludf.DUMMYFUNCTION("""COMPUTED_VALUE"""),63.93)</f>
        <v>63.93</v>
      </c>
      <c r="G155" s="4">
        <f>IFERROR(__xludf.DUMMYFUNCTION("""COMPUTED_VALUE"""),44503.66666666667)</f>
        <v>44503.66667</v>
      </c>
      <c r="H155" s="1">
        <f>IFERROR(__xludf.DUMMYFUNCTION("""COMPUTED_VALUE"""),113.01)</f>
        <v>113.01</v>
      </c>
      <c r="I155" s="5">
        <f t="shared" si="1"/>
        <v>-0.003498580764</v>
      </c>
      <c r="K155" s="5">
        <f t="shared" si="2"/>
        <v>0.007305389222</v>
      </c>
      <c r="L155" s="5">
        <f t="shared" si="3"/>
        <v>0.007508212107</v>
      </c>
      <c r="M155" s="5">
        <f t="shared" si="4"/>
        <v>0.004424387222</v>
      </c>
      <c r="Q155" s="5"/>
    </row>
    <row r="156">
      <c r="A156" s="4">
        <f>IFERROR(__xludf.DUMMYFUNCTION("""COMPUTED_VALUE"""),44504.66666666667)</f>
        <v>44504.66667</v>
      </c>
      <c r="B156" s="1">
        <f>IFERROR(__xludf.DUMMYFUNCTION("""COMPUTED_VALUE"""),150.96)</f>
        <v>150.96</v>
      </c>
      <c r="C156" s="4">
        <f>IFERROR(__xludf.DUMMYFUNCTION("""COMPUTED_VALUE"""),44504.66666666667)</f>
        <v>44504.66667</v>
      </c>
      <c r="D156" s="1">
        <f>IFERROR(__xludf.DUMMYFUNCTION("""COMPUTED_VALUE"""),336.44)</f>
        <v>336.44</v>
      </c>
      <c r="E156" s="4">
        <f>IFERROR(__xludf.DUMMYFUNCTION("""COMPUTED_VALUE"""),44504.66666666667)</f>
        <v>44504.66667</v>
      </c>
      <c r="F156" s="1">
        <f>IFERROR(__xludf.DUMMYFUNCTION("""COMPUTED_VALUE"""),64.41)</f>
        <v>64.41</v>
      </c>
      <c r="G156" s="4">
        <f>IFERROR(__xludf.DUMMYFUNCTION("""COMPUTED_VALUE"""),44504.66666666667)</f>
        <v>44504.66667</v>
      </c>
      <c r="H156" s="1">
        <f>IFERROR(__xludf.DUMMYFUNCTION("""COMPUTED_VALUE"""),113.51)</f>
        <v>113.51</v>
      </c>
      <c r="I156" s="5">
        <f t="shared" si="1"/>
        <v>0.002119766826</v>
      </c>
      <c r="K156" s="5">
        <f t="shared" si="2"/>
        <v>-0.001129473309</v>
      </c>
      <c r="L156" s="5">
        <f t="shared" si="3"/>
        <v>0.009470579103</v>
      </c>
      <c r="M156" s="5">
        <f t="shared" si="4"/>
        <v>0.01083604969</v>
      </c>
      <c r="Q156" s="5"/>
    </row>
    <row r="157">
      <c r="A157" s="4">
        <f>IFERROR(__xludf.DUMMYFUNCTION("""COMPUTED_VALUE"""),44505.66666666667)</f>
        <v>44505.66667</v>
      </c>
      <c r="B157" s="1">
        <f>IFERROR(__xludf.DUMMYFUNCTION("""COMPUTED_VALUE"""),151.28)</f>
        <v>151.28</v>
      </c>
      <c r="C157" s="4">
        <f>IFERROR(__xludf.DUMMYFUNCTION("""COMPUTED_VALUE"""),44505.66666666667)</f>
        <v>44505.66667</v>
      </c>
      <c r="D157" s="1">
        <f>IFERROR(__xludf.DUMMYFUNCTION("""COMPUTED_VALUE"""),336.06)</f>
        <v>336.06</v>
      </c>
      <c r="E157" s="4">
        <f>IFERROR(__xludf.DUMMYFUNCTION("""COMPUTED_VALUE"""),44505.66666666667)</f>
        <v>44505.66667</v>
      </c>
      <c r="F157" s="1">
        <f>IFERROR(__xludf.DUMMYFUNCTION("""COMPUTED_VALUE"""),65.02)</f>
        <v>65.02</v>
      </c>
      <c r="G157" s="4">
        <f>IFERROR(__xludf.DUMMYFUNCTION("""COMPUTED_VALUE"""),44505.66666666667)</f>
        <v>44505.66667</v>
      </c>
      <c r="H157" s="1">
        <f>IFERROR(__xludf.DUMMYFUNCTION("""COMPUTED_VALUE"""),114.74)</f>
        <v>114.74</v>
      </c>
      <c r="I157" s="5">
        <f t="shared" si="1"/>
        <v>-0.005552617663</v>
      </c>
      <c r="K157" s="5">
        <f t="shared" si="2"/>
        <v>0.002767362971</v>
      </c>
      <c r="L157" s="5">
        <f t="shared" si="3"/>
        <v>0.01076591818</v>
      </c>
      <c r="M157" s="5">
        <f t="shared" si="4"/>
        <v>0.003573296148</v>
      </c>
      <c r="Q157" s="5"/>
    </row>
    <row r="158">
      <c r="A158" s="4">
        <f>IFERROR(__xludf.DUMMYFUNCTION("""COMPUTED_VALUE"""),44508.66666666667)</f>
        <v>44508.66667</v>
      </c>
      <c r="B158" s="1">
        <f>IFERROR(__xludf.DUMMYFUNCTION("""COMPUTED_VALUE"""),150.44)</f>
        <v>150.44</v>
      </c>
      <c r="C158" s="4">
        <f>IFERROR(__xludf.DUMMYFUNCTION("""COMPUTED_VALUE"""),44508.66666666667)</f>
        <v>44508.66667</v>
      </c>
      <c r="D158" s="1">
        <f>IFERROR(__xludf.DUMMYFUNCTION("""COMPUTED_VALUE"""),336.99)</f>
        <v>336.99</v>
      </c>
      <c r="E158" s="4">
        <f>IFERROR(__xludf.DUMMYFUNCTION("""COMPUTED_VALUE"""),44508.66666666667)</f>
        <v>44508.66667</v>
      </c>
      <c r="F158" s="1">
        <f>IFERROR(__xludf.DUMMYFUNCTION("""COMPUTED_VALUE"""),65.72)</f>
        <v>65.72</v>
      </c>
      <c r="G158" s="4">
        <f>IFERROR(__xludf.DUMMYFUNCTION("""COMPUTED_VALUE"""),44508.66666666667)</f>
        <v>44508.66667</v>
      </c>
      <c r="H158" s="1">
        <f>IFERROR(__xludf.DUMMYFUNCTION("""COMPUTED_VALUE"""),115.15)</f>
        <v>115.15</v>
      </c>
      <c r="I158" s="5">
        <f t="shared" si="1"/>
        <v>0.002459452273</v>
      </c>
      <c r="K158" s="5">
        <f t="shared" si="2"/>
        <v>-0.003086144989</v>
      </c>
      <c r="L158" s="5">
        <f t="shared" si="3"/>
        <v>0.009738283628</v>
      </c>
      <c r="M158" s="5">
        <f t="shared" si="4"/>
        <v>0.007381676075</v>
      </c>
      <c r="Q158" s="5"/>
    </row>
    <row r="159">
      <c r="A159" s="4">
        <f>IFERROR(__xludf.DUMMYFUNCTION("""COMPUTED_VALUE"""),44509.66666666667)</f>
        <v>44509.66667</v>
      </c>
      <c r="B159" s="1">
        <f>IFERROR(__xludf.DUMMYFUNCTION("""COMPUTED_VALUE"""),150.81)</f>
        <v>150.81</v>
      </c>
      <c r="C159" s="4">
        <f>IFERROR(__xludf.DUMMYFUNCTION("""COMPUTED_VALUE"""),44509.66666666667)</f>
        <v>44509.66667</v>
      </c>
      <c r="D159" s="1">
        <f>IFERROR(__xludf.DUMMYFUNCTION("""COMPUTED_VALUE"""),335.95)</f>
        <v>335.95</v>
      </c>
      <c r="E159" s="4">
        <f>IFERROR(__xludf.DUMMYFUNCTION("""COMPUTED_VALUE"""),44509.66666666667)</f>
        <v>44509.66667</v>
      </c>
      <c r="F159" s="1">
        <f>IFERROR(__xludf.DUMMYFUNCTION("""COMPUTED_VALUE"""),66.36)</f>
        <v>66.36</v>
      </c>
      <c r="G159" s="4">
        <f>IFERROR(__xludf.DUMMYFUNCTION("""COMPUTED_VALUE"""),44509.66666666667)</f>
        <v>44509.66667</v>
      </c>
      <c r="H159" s="1">
        <f>IFERROR(__xludf.DUMMYFUNCTION("""COMPUTED_VALUE"""),116.0)</f>
        <v>116</v>
      </c>
      <c r="I159" s="5">
        <f t="shared" si="1"/>
        <v>-0.01916318547</v>
      </c>
      <c r="K159" s="5">
        <f t="shared" si="2"/>
        <v>-0.01532966215</v>
      </c>
      <c r="L159" s="5">
        <f t="shared" si="3"/>
        <v>-0.03270042194</v>
      </c>
      <c r="M159" s="5">
        <f t="shared" si="4"/>
        <v>-0.01594827586</v>
      </c>
      <c r="Q159" s="5"/>
    </row>
    <row r="160">
      <c r="A160" s="4">
        <f>IFERROR(__xludf.DUMMYFUNCTION("""COMPUTED_VALUE"""),44510.66666666667)</f>
        <v>44510.66667</v>
      </c>
      <c r="B160" s="1">
        <f>IFERROR(__xludf.DUMMYFUNCTION("""COMPUTED_VALUE"""),147.92)</f>
        <v>147.92</v>
      </c>
      <c r="C160" s="4">
        <f>IFERROR(__xludf.DUMMYFUNCTION("""COMPUTED_VALUE"""),44510.66666666667)</f>
        <v>44510.66667</v>
      </c>
      <c r="D160" s="1">
        <f>IFERROR(__xludf.DUMMYFUNCTION("""COMPUTED_VALUE"""),330.8)</f>
        <v>330.8</v>
      </c>
      <c r="E160" s="4">
        <f>IFERROR(__xludf.DUMMYFUNCTION("""COMPUTED_VALUE"""),44510.66666666667)</f>
        <v>44510.66667</v>
      </c>
      <c r="F160" s="1">
        <f>IFERROR(__xludf.DUMMYFUNCTION("""COMPUTED_VALUE"""),64.19)</f>
        <v>64.19</v>
      </c>
      <c r="G160" s="4">
        <f>IFERROR(__xludf.DUMMYFUNCTION("""COMPUTED_VALUE"""),44510.66666666667)</f>
        <v>44510.66667</v>
      </c>
      <c r="H160" s="1">
        <f>IFERROR(__xludf.DUMMYFUNCTION("""COMPUTED_VALUE"""),114.15)</f>
        <v>114.15</v>
      </c>
      <c r="I160" s="5">
        <f t="shared" si="1"/>
        <v>-0.0003380205516</v>
      </c>
      <c r="K160" s="5">
        <f t="shared" si="2"/>
        <v>0.004927448609</v>
      </c>
      <c r="L160" s="5">
        <f t="shared" si="3"/>
        <v>0.00186945007</v>
      </c>
      <c r="M160" s="5">
        <f t="shared" si="4"/>
        <v>0.00008760402979</v>
      </c>
      <c r="Q160" s="5"/>
    </row>
    <row r="161">
      <c r="A161" s="4">
        <f>IFERROR(__xludf.DUMMYFUNCTION("""COMPUTED_VALUE"""),44511.66666666667)</f>
        <v>44511.66667</v>
      </c>
      <c r="B161" s="1">
        <f>IFERROR(__xludf.DUMMYFUNCTION("""COMPUTED_VALUE"""),147.87)</f>
        <v>147.87</v>
      </c>
      <c r="C161" s="4">
        <f>IFERROR(__xludf.DUMMYFUNCTION("""COMPUTED_VALUE"""),44511.66666666667)</f>
        <v>44511.66667</v>
      </c>
      <c r="D161" s="1">
        <f>IFERROR(__xludf.DUMMYFUNCTION("""COMPUTED_VALUE"""),332.43)</f>
        <v>332.43</v>
      </c>
      <c r="E161" s="4">
        <f>IFERROR(__xludf.DUMMYFUNCTION("""COMPUTED_VALUE"""),44511.66666666667)</f>
        <v>44511.66667</v>
      </c>
      <c r="F161" s="1">
        <f>IFERROR(__xludf.DUMMYFUNCTION("""COMPUTED_VALUE"""),64.31)</f>
        <v>64.31</v>
      </c>
      <c r="G161" s="4">
        <f>IFERROR(__xludf.DUMMYFUNCTION("""COMPUTED_VALUE"""),44511.66666666667)</f>
        <v>44511.66667</v>
      </c>
      <c r="H161" s="1">
        <f>IFERROR(__xludf.DUMMYFUNCTION("""COMPUTED_VALUE"""),114.16)</f>
        <v>114.16</v>
      </c>
      <c r="I161" s="5">
        <f t="shared" si="1"/>
        <v>0.01433691756</v>
      </c>
      <c r="K161" s="5">
        <f t="shared" si="2"/>
        <v>0.01290497248</v>
      </c>
      <c r="L161" s="5">
        <f t="shared" si="3"/>
        <v>-0.007619343803</v>
      </c>
      <c r="M161" s="5">
        <f t="shared" si="4"/>
        <v>0.0006131744919</v>
      </c>
      <c r="Q161" s="5"/>
    </row>
    <row r="162">
      <c r="A162" s="4">
        <f>IFERROR(__xludf.DUMMYFUNCTION("""COMPUTED_VALUE"""),44512.66666666667)</f>
        <v>44512.66667</v>
      </c>
      <c r="B162" s="1">
        <f>IFERROR(__xludf.DUMMYFUNCTION("""COMPUTED_VALUE"""),149.99)</f>
        <v>149.99</v>
      </c>
      <c r="C162" s="4">
        <f>IFERROR(__xludf.DUMMYFUNCTION("""COMPUTED_VALUE"""),44512.66666666667)</f>
        <v>44512.66667</v>
      </c>
      <c r="D162" s="1">
        <f>IFERROR(__xludf.DUMMYFUNCTION("""COMPUTED_VALUE"""),336.72)</f>
        <v>336.72</v>
      </c>
      <c r="E162" s="4">
        <f>IFERROR(__xludf.DUMMYFUNCTION("""COMPUTED_VALUE"""),44512.66666666667)</f>
        <v>44512.66667</v>
      </c>
      <c r="F162" s="1">
        <f>IFERROR(__xludf.DUMMYFUNCTION("""COMPUTED_VALUE"""),63.82)</f>
        <v>63.82</v>
      </c>
      <c r="G162" s="4">
        <f>IFERROR(__xludf.DUMMYFUNCTION("""COMPUTED_VALUE"""),44512.66666666667)</f>
        <v>44512.66667</v>
      </c>
      <c r="H162" s="1">
        <f>IFERROR(__xludf.DUMMYFUNCTION("""COMPUTED_VALUE"""),114.23)</f>
        <v>114.23</v>
      </c>
      <c r="I162" s="5">
        <f t="shared" si="1"/>
        <v>0.00006667111141</v>
      </c>
      <c r="K162" s="5">
        <f t="shared" si="2"/>
        <v>-0.001930387265</v>
      </c>
      <c r="L162" s="5">
        <f t="shared" si="3"/>
        <v>0.008617988092</v>
      </c>
      <c r="M162" s="5">
        <f t="shared" si="4"/>
        <v>0.02267355336</v>
      </c>
      <c r="Q162" s="5"/>
    </row>
    <row r="163">
      <c r="A163" s="4">
        <f>IFERROR(__xludf.DUMMYFUNCTION("""COMPUTED_VALUE"""),44515.66666666667)</f>
        <v>44515.66667</v>
      </c>
      <c r="B163" s="1">
        <f>IFERROR(__xludf.DUMMYFUNCTION("""COMPUTED_VALUE"""),150.0)</f>
        <v>150</v>
      </c>
      <c r="C163" s="4">
        <f>IFERROR(__xludf.DUMMYFUNCTION("""COMPUTED_VALUE"""),44515.66666666667)</f>
        <v>44515.66667</v>
      </c>
      <c r="D163" s="1">
        <f>IFERROR(__xludf.DUMMYFUNCTION("""COMPUTED_VALUE"""),336.07)</f>
        <v>336.07</v>
      </c>
      <c r="E163" s="4">
        <f>IFERROR(__xludf.DUMMYFUNCTION("""COMPUTED_VALUE"""),44515.66666666667)</f>
        <v>44515.66667</v>
      </c>
      <c r="F163" s="1">
        <f>IFERROR(__xludf.DUMMYFUNCTION("""COMPUTED_VALUE"""),64.37)</f>
        <v>64.37</v>
      </c>
      <c r="G163" s="4">
        <f>IFERROR(__xludf.DUMMYFUNCTION("""COMPUTED_VALUE"""),44515.66666666667)</f>
        <v>44515.66667</v>
      </c>
      <c r="H163" s="1">
        <f>IFERROR(__xludf.DUMMYFUNCTION("""COMPUTED_VALUE"""),116.82)</f>
        <v>116.82</v>
      </c>
      <c r="I163" s="5">
        <f t="shared" si="1"/>
        <v>0.006666666667</v>
      </c>
      <c r="K163" s="5">
        <f t="shared" si="2"/>
        <v>0.01023596275</v>
      </c>
      <c r="L163" s="5">
        <f t="shared" si="3"/>
        <v>0.01009787168</v>
      </c>
      <c r="M163" s="5">
        <f t="shared" si="4"/>
        <v>0.003937681904</v>
      </c>
      <c r="Q163" s="5"/>
    </row>
    <row r="164">
      <c r="A164" s="4">
        <f>IFERROR(__xludf.DUMMYFUNCTION("""COMPUTED_VALUE"""),44516.66666666667)</f>
        <v>44516.66667</v>
      </c>
      <c r="B164" s="1">
        <f>IFERROR(__xludf.DUMMYFUNCTION("""COMPUTED_VALUE"""),151.0)</f>
        <v>151</v>
      </c>
      <c r="C164" s="4">
        <f>IFERROR(__xludf.DUMMYFUNCTION("""COMPUTED_VALUE"""),44516.66666666667)</f>
        <v>44516.66667</v>
      </c>
      <c r="D164" s="1">
        <f>IFERROR(__xludf.DUMMYFUNCTION("""COMPUTED_VALUE"""),339.51)</f>
        <v>339.51</v>
      </c>
      <c r="E164" s="4">
        <f>IFERROR(__xludf.DUMMYFUNCTION("""COMPUTED_VALUE"""),44516.66666666667)</f>
        <v>44516.66667</v>
      </c>
      <c r="F164" s="1">
        <f>IFERROR(__xludf.DUMMYFUNCTION("""COMPUTED_VALUE"""),65.02)</f>
        <v>65.02</v>
      </c>
      <c r="G164" s="4">
        <f>IFERROR(__xludf.DUMMYFUNCTION("""COMPUTED_VALUE"""),44516.66666666667)</f>
        <v>44516.66667</v>
      </c>
      <c r="H164" s="1">
        <f>IFERROR(__xludf.DUMMYFUNCTION("""COMPUTED_VALUE"""),117.28)</f>
        <v>117.28</v>
      </c>
      <c r="I164" s="5">
        <f t="shared" si="1"/>
        <v>0.01649006623</v>
      </c>
      <c r="K164" s="5">
        <f t="shared" si="2"/>
        <v>-0.001148714324</v>
      </c>
      <c r="L164" s="5">
        <f t="shared" si="3"/>
        <v>-0.01091971701</v>
      </c>
      <c r="M164" s="5">
        <f t="shared" si="4"/>
        <v>-0.01585948158</v>
      </c>
      <c r="Q164" s="5"/>
    </row>
    <row r="165">
      <c r="A165" s="4">
        <f>IFERROR(__xludf.DUMMYFUNCTION("""COMPUTED_VALUE"""),44517.66666666667)</f>
        <v>44517.66667</v>
      </c>
      <c r="B165" s="1">
        <f>IFERROR(__xludf.DUMMYFUNCTION("""COMPUTED_VALUE"""),153.49)</f>
        <v>153.49</v>
      </c>
      <c r="C165" s="4">
        <f>IFERROR(__xludf.DUMMYFUNCTION("""COMPUTED_VALUE"""),44517.66666666667)</f>
        <v>44517.66667</v>
      </c>
      <c r="D165" s="1">
        <f>IFERROR(__xludf.DUMMYFUNCTION("""COMPUTED_VALUE"""),339.12)</f>
        <v>339.12</v>
      </c>
      <c r="E165" s="4">
        <f>IFERROR(__xludf.DUMMYFUNCTION("""COMPUTED_VALUE"""),44517.66666666667)</f>
        <v>44517.66667</v>
      </c>
      <c r="F165" s="1">
        <f>IFERROR(__xludf.DUMMYFUNCTION("""COMPUTED_VALUE"""),64.31)</f>
        <v>64.31</v>
      </c>
      <c r="G165" s="4">
        <f>IFERROR(__xludf.DUMMYFUNCTION("""COMPUTED_VALUE"""),44517.66666666667)</f>
        <v>44517.66667</v>
      </c>
      <c r="H165" s="1">
        <f>IFERROR(__xludf.DUMMYFUNCTION("""COMPUTED_VALUE"""),115.42)</f>
        <v>115.42</v>
      </c>
      <c r="I165" s="5">
        <f t="shared" si="1"/>
        <v>0.02853606098</v>
      </c>
      <c r="K165" s="5">
        <f t="shared" si="2"/>
        <v>0.006339938665</v>
      </c>
      <c r="L165" s="5">
        <f t="shared" si="3"/>
        <v>-0.01088477686</v>
      </c>
      <c r="M165" s="5">
        <f t="shared" si="4"/>
        <v>-0.008404089413</v>
      </c>
      <c r="Q165" s="5"/>
    </row>
    <row r="166">
      <c r="A166" s="4">
        <f>IFERROR(__xludf.DUMMYFUNCTION("""COMPUTED_VALUE"""),44518.66666666667)</f>
        <v>44518.66667</v>
      </c>
      <c r="B166" s="1">
        <f>IFERROR(__xludf.DUMMYFUNCTION("""COMPUTED_VALUE"""),157.87)</f>
        <v>157.87</v>
      </c>
      <c r="C166" s="4">
        <f>IFERROR(__xludf.DUMMYFUNCTION("""COMPUTED_VALUE"""),44518.66666666667)</f>
        <v>44518.66667</v>
      </c>
      <c r="D166" s="1">
        <f>IFERROR(__xludf.DUMMYFUNCTION("""COMPUTED_VALUE"""),341.27)</f>
        <v>341.27</v>
      </c>
      <c r="E166" s="4">
        <f>IFERROR(__xludf.DUMMYFUNCTION("""COMPUTED_VALUE"""),44518.66666666667)</f>
        <v>44518.66667</v>
      </c>
      <c r="F166" s="1">
        <f>IFERROR(__xludf.DUMMYFUNCTION("""COMPUTED_VALUE"""),63.61)</f>
        <v>63.61</v>
      </c>
      <c r="G166" s="4">
        <f>IFERROR(__xludf.DUMMYFUNCTION("""COMPUTED_VALUE"""),44518.66666666667)</f>
        <v>44518.66667</v>
      </c>
      <c r="H166" s="1">
        <f>IFERROR(__xludf.DUMMYFUNCTION("""COMPUTED_VALUE"""),114.45)</f>
        <v>114.45</v>
      </c>
      <c r="I166" s="5">
        <f t="shared" si="1"/>
        <v>0.01697599291</v>
      </c>
      <c r="K166" s="5">
        <f t="shared" si="2"/>
        <v>0.005391625399</v>
      </c>
      <c r="L166" s="5">
        <f t="shared" si="3"/>
        <v>-0.04621914793</v>
      </c>
      <c r="M166" s="5">
        <f t="shared" si="4"/>
        <v>-0.02219309742</v>
      </c>
      <c r="Q166" s="5"/>
    </row>
    <row r="167">
      <c r="A167" s="4">
        <f>IFERROR(__xludf.DUMMYFUNCTION("""COMPUTED_VALUE"""),44519.66666666667)</f>
        <v>44519.66667</v>
      </c>
      <c r="B167" s="1">
        <f>IFERROR(__xludf.DUMMYFUNCTION("""COMPUTED_VALUE"""),160.55)</f>
        <v>160.55</v>
      </c>
      <c r="C167" s="4">
        <f>IFERROR(__xludf.DUMMYFUNCTION("""COMPUTED_VALUE"""),44519.66666666667)</f>
        <v>44519.66667</v>
      </c>
      <c r="D167" s="1">
        <f>IFERROR(__xludf.DUMMYFUNCTION("""COMPUTED_VALUE"""),343.11)</f>
        <v>343.11</v>
      </c>
      <c r="E167" s="4">
        <f>IFERROR(__xludf.DUMMYFUNCTION("""COMPUTED_VALUE"""),44519.66666666667)</f>
        <v>44519.66667</v>
      </c>
      <c r="F167" s="1">
        <f>IFERROR(__xludf.DUMMYFUNCTION("""COMPUTED_VALUE"""),60.67)</f>
        <v>60.67</v>
      </c>
      <c r="G167" s="4">
        <f>IFERROR(__xludf.DUMMYFUNCTION("""COMPUTED_VALUE"""),44519.66666666667)</f>
        <v>44519.66667</v>
      </c>
      <c r="H167" s="1">
        <f>IFERROR(__xludf.DUMMYFUNCTION("""COMPUTED_VALUE"""),111.91)</f>
        <v>111.91</v>
      </c>
      <c r="I167" s="5">
        <f t="shared" si="1"/>
        <v>0.002927436936</v>
      </c>
      <c r="K167" s="5">
        <f t="shared" si="2"/>
        <v>-0.00955961645</v>
      </c>
      <c r="L167" s="5">
        <f t="shared" si="3"/>
        <v>0.01384539311</v>
      </c>
      <c r="M167" s="5">
        <f t="shared" si="4"/>
        <v>0.01787150389</v>
      </c>
      <c r="Q167" s="5"/>
    </row>
    <row r="168">
      <c r="A168" s="4">
        <f>IFERROR(__xludf.DUMMYFUNCTION("""COMPUTED_VALUE"""),44522.66666666667)</f>
        <v>44522.66667</v>
      </c>
      <c r="B168" s="1">
        <f>IFERROR(__xludf.DUMMYFUNCTION("""COMPUTED_VALUE"""),161.02)</f>
        <v>161.02</v>
      </c>
      <c r="C168" s="4">
        <f>IFERROR(__xludf.DUMMYFUNCTION("""COMPUTED_VALUE"""),44522.66666666667)</f>
        <v>44522.66667</v>
      </c>
      <c r="D168" s="1">
        <f>IFERROR(__xludf.DUMMYFUNCTION("""COMPUTED_VALUE"""),339.83)</f>
        <v>339.83</v>
      </c>
      <c r="E168" s="4">
        <f>IFERROR(__xludf.DUMMYFUNCTION("""COMPUTED_VALUE"""),44522.66666666667)</f>
        <v>44522.66667</v>
      </c>
      <c r="F168" s="1">
        <f>IFERROR(__xludf.DUMMYFUNCTION("""COMPUTED_VALUE"""),61.51)</f>
        <v>61.51</v>
      </c>
      <c r="G168" s="4">
        <f>IFERROR(__xludf.DUMMYFUNCTION("""COMPUTED_VALUE"""),44522.66666666667)</f>
        <v>44522.66667</v>
      </c>
      <c r="H168" s="1">
        <f>IFERROR(__xludf.DUMMYFUNCTION("""COMPUTED_VALUE"""),113.91)</f>
        <v>113.91</v>
      </c>
      <c r="I168" s="5">
        <f t="shared" si="1"/>
        <v>0.002422059372</v>
      </c>
      <c r="K168" s="5">
        <f t="shared" si="2"/>
        <v>-0.006326692758</v>
      </c>
      <c r="L168" s="5">
        <f t="shared" si="3"/>
        <v>0.02633718095</v>
      </c>
      <c r="M168" s="5">
        <f t="shared" si="4"/>
        <v>0.0209814766</v>
      </c>
      <c r="Q168" s="5"/>
    </row>
    <row r="169">
      <c r="A169" s="4">
        <f>IFERROR(__xludf.DUMMYFUNCTION("""COMPUTED_VALUE"""),44523.66666666667)</f>
        <v>44523.66667</v>
      </c>
      <c r="B169" s="1">
        <f>IFERROR(__xludf.DUMMYFUNCTION("""COMPUTED_VALUE"""),161.41)</f>
        <v>161.41</v>
      </c>
      <c r="C169" s="4">
        <f>IFERROR(__xludf.DUMMYFUNCTION("""COMPUTED_VALUE"""),44523.66666666667)</f>
        <v>44523.66667</v>
      </c>
      <c r="D169" s="1">
        <f>IFERROR(__xludf.DUMMYFUNCTION("""COMPUTED_VALUE"""),337.68)</f>
        <v>337.68</v>
      </c>
      <c r="E169" s="4">
        <f>IFERROR(__xludf.DUMMYFUNCTION("""COMPUTED_VALUE"""),44523.66666666667)</f>
        <v>44523.66667</v>
      </c>
      <c r="F169" s="1">
        <f>IFERROR(__xludf.DUMMYFUNCTION("""COMPUTED_VALUE"""),63.13)</f>
        <v>63.13</v>
      </c>
      <c r="G169" s="4">
        <f>IFERROR(__xludf.DUMMYFUNCTION("""COMPUTED_VALUE"""),44523.66666666667)</f>
        <v>44523.66667</v>
      </c>
      <c r="H169" s="1">
        <f>IFERROR(__xludf.DUMMYFUNCTION("""COMPUTED_VALUE"""),116.3)</f>
        <v>116.3</v>
      </c>
      <c r="I169" s="5">
        <f t="shared" si="1"/>
        <v>0.003283563596</v>
      </c>
      <c r="K169" s="5">
        <f t="shared" si="2"/>
        <v>0.0006811182184</v>
      </c>
      <c r="L169" s="5">
        <f t="shared" si="3"/>
        <v>0.005544115318</v>
      </c>
      <c r="M169" s="5">
        <f t="shared" si="4"/>
        <v>0.007652622528</v>
      </c>
      <c r="Q169" s="5"/>
    </row>
    <row r="170">
      <c r="A170" s="4">
        <f>IFERROR(__xludf.DUMMYFUNCTION("""COMPUTED_VALUE"""),44524.66666666667)</f>
        <v>44524.66667</v>
      </c>
      <c r="B170" s="1">
        <f>IFERROR(__xludf.DUMMYFUNCTION("""COMPUTED_VALUE"""),161.94)</f>
        <v>161.94</v>
      </c>
      <c r="C170" s="4">
        <f>IFERROR(__xludf.DUMMYFUNCTION("""COMPUTED_VALUE"""),44524.66666666667)</f>
        <v>44524.66667</v>
      </c>
      <c r="D170" s="1">
        <f>IFERROR(__xludf.DUMMYFUNCTION("""COMPUTED_VALUE"""),337.91)</f>
        <v>337.91</v>
      </c>
      <c r="E170" s="4">
        <f>IFERROR(__xludf.DUMMYFUNCTION("""COMPUTED_VALUE"""),44524.66666666667)</f>
        <v>44524.66667</v>
      </c>
      <c r="F170" s="1">
        <f>IFERROR(__xludf.DUMMYFUNCTION("""COMPUTED_VALUE"""),63.48)</f>
        <v>63.48</v>
      </c>
      <c r="G170" s="4">
        <f>IFERROR(__xludf.DUMMYFUNCTION("""COMPUTED_VALUE"""),44524.66666666667)</f>
        <v>44524.66667</v>
      </c>
      <c r="H170" s="1">
        <f>IFERROR(__xludf.DUMMYFUNCTION("""COMPUTED_VALUE"""),117.19)</f>
        <v>117.19</v>
      </c>
      <c r="I170" s="5">
        <f t="shared" si="1"/>
        <v>-0.03167839941</v>
      </c>
      <c r="K170" s="5">
        <f t="shared" si="2"/>
        <v>-0.02435559764</v>
      </c>
      <c r="L170" s="5">
        <f t="shared" si="3"/>
        <v>-0.03512917454</v>
      </c>
      <c r="M170" s="5">
        <f t="shared" si="4"/>
        <v>-0.02286884546</v>
      </c>
      <c r="Q170" s="5"/>
    </row>
    <row r="171">
      <c r="A171" s="4">
        <f>IFERROR(__xludf.DUMMYFUNCTION("""COMPUTED_VALUE"""),44526.54166666667)</f>
        <v>44526.54167</v>
      </c>
      <c r="B171" s="1">
        <f>IFERROR(__xludf.DUMMYFUNCTION("""COMPUTED_VALUE"""),156.81)</f>
        <v>156.81</v>
      </c>
      <c r="C171" s="4">
        <f>IFERROR(__xludf.DUMMYFUNCTION("""COMPUTED_VALUE"""),44526.54166666667)</f>
        <v>44526.54167</v>
      </c>
      <c r="D171" s="1">
        <f>IFERROR(__xludf.DUMMYFUNCTION("""COMPUTED_VALUE"""),329.68)</f>
        <v>329.68</v>
      </c>
      <c r="E171" s="4">
        <f>IFERROR(__xludf.DUMMYFUNCTION("""COMPUTED_VALUE"""),44526.54166666667)</f>
        <v>44526.54167</v>
      </c>
      <c r="F171" s="1">
        <f>IFERROR(__xludf.DUMMYFUNCTION("""COMPUTED_VALUE"""),61.25)</f>
        <v>61.25</v>
      </c>
      <c r="G171" s="4">
        <f>IFERROR(__xludf.DUMMYFUNCTION("""COMPUTED_VALUE"""),44526.54166666667)</f>
        <v>44526.54167</v>
      </c>
      <c r="H171" s="1">
        <f>IFERROR(__xludf.DUMMYFUNCTION("""COMPUTED_VALUE"""),114.51)</f>
        <v>114.51</v>
      </c>
      <c r="I171" s="5">
        <f t="shared" si="1"/>
        <v>0.021873605</v>
      </c>
      <c r="K171" s="5">
        <f t="shared" si="2"/>
        <v>0.02108104829</v>
      </c>
      <c r="L171" s="5">
        <f t="shared" si="3"/>
        <v>0.005551020408</v>
      </c>
      <c r="M171" s="5">
        <f t="shared" si="4"/>
        <v>0.002969172998</v>
      </c>
      <c r="Q171" s="5"/>
    </row>
    <row r="172">
      <c r="A172" s="4">
        <f>IFERROR(__xludf.DUMMYFUNCTION("""COMPUTED_VALUE"""),44529.66666666667)</f>
        <v>44529.66667</v>
      </c>
      <c r="B172" s="1">
        <f>IFERROR(__xludf.DUMMYFUNCTION("""COMPUTED_VALUE"""),160.24)</f>
        <v>160.24</v>
      </c>
      <c r="C172" s="4">
        <f>IFERROR(__xludf.DUMMYFUNCTION("""COMPUTED_VALUE"""),44529.66666666667)</f>
        <v>44529.66667</v>
      </c>
      <c r="D172" s="1">
        <f>IFERROR(__xludf.DUMMYFUNCTION("""COMPUTED_VALUE"""),336.63)</f>
        <v>336.63</v>
      </c>
      <c r="E172" s="4">
        <f>IFERROR(__xludf.DUMMYFUNCTION("""COMPUTED_VALUE"""),44529.66666666667)</f>
        <v>44529.66667</v>
      </c>
      <c r="F172" s="1">
        <f>IFERROR(__xludf.DUMMYFUNCTION("""COMPUTED_VALUE"""),61.59)</f>
        <v>61.59</v>
      </c>
      <c r="G172" s="4">
        <f>IFERROR(__xludf.DUMMYFUNCTION("""COMPUTED_VALUE"""),44529.66666666667)</f>
        <v>44529.66667</v>
      </c>
      <c r="H172" s="1">
        <f>IFERROR(__xludf.DUMMYFUNCTION("""COMPUTED_VALUE"""),114.85)</f>
        <v>114.85</v>
      </c>
      <c r="I172" s="5">
        <f t="shared" si="1"/>
        <v>0.03157763355</v>
      </c>
      <c r="K172" s="5">
        <f t="shared" si="2"/>
        <v>-0.0179425482</v>
      </c>
      <c r="L172" s="5">
        <f t="shared" si="3"/>
        <v>-0.02841370352</v>
      </c>
      <c r="M172" s="5">
        <f t="shared" si="4"/>
        <v>-0.0172398781</v>
      </c>
      <c r="Q172" s="5"/>
    </row>
    <row r="173">
      <c r="A173" s="4">
        <f>IFERROR(__xludf.DUMMYFUNCTION("""COMPUTED_VALUE"""),44530.66666666667)</f>
        <v>44530.66667</v>
      </c>
      <c r="B173" s="1">
        <f>IFERROR(__xludf.DUMMYFUNCTION("""COMPUTED_VALUE"""),165.3)</f>
        <v>165.3</v>
      </c>
      <c r="C173" s="4">
        <f>IFERROR(__xludf.DUMMYFUNCTION("""COMPUTED_VALUE"""),44530.66666666667)</f>
        <v>44530.66667</v>
      </c>
      <c r="D173" s="1">
        <f>IFERROR(__xludf.DUMMYFUNCTION("""COMPUTED_VALUE"""),330.59)</f>
        <v>330.59</v>
      </c>
      <c r="E173" s="4">
        <f>IFERROR(__xludf.DUMMYFUNCTION("""COMPUTED_VALUE"""),44530.66666666667)</f>
        <v>44530.66667</v>
      </c>
      <c r="F173" s="1">
        <f>IFERROR(__xludf.DUMMYFUNCTION("""COMPUTED_VALUE"""),59.84)</f>
        <v>59.84</v>
      </c>
      <c r="G173" s="4">
        <f>IFERROR(__xludf.DUMMYFUNCTION("""COMPUTED_VALUE"""),44530.66666666667)</f>
        <v>44530.66667</v>
      </c>
      <c r="H173" s="1">
        <f>IFERROR(__xludf.DUMMYFUNCTION("""COMPUTED_VALUE"""),112.87)</f>
        <v>112.87</v>
      </c>
      <c r="I173" s="5">
        <f t="shared" si="1"/>
        <v>-0.003206291591</v>
      </c>
      <c r="K173" s="5">
        <f t="shared" si="2"/>
        <v>-0.001542696391</v>
      </c>
      <c r="L173" s="5">
        <f t="shared" si="3"/>
        <v>-0.0008355614973</v>
      </c>
      <c r="M173" s="5">
        <f t="shared" si="4"/>
        <v>-0.006822007619</v>
      </c>
      <c r="Q173" s="5"/>
    </row>
    <row r="174">
      <c r="A174" s="4">
        <f>IFERROR(__xludf.DUMMYFUNCTION("""COMPUTED_VALUE"""),44531.66666666667)</f>
        <v>44531.66667</v>
      </c>
      <c r="B174" s="1">
        <f>IFERROR(__xludf.DUMMYFUNCTION("""COMPUTED_VALUE"""),164.77)</f>
        <v>164.77</v>
      </c>
      <c r="C174" s="4">
        <f>IFERROR(__xludf.DUMMYFUNCTION("""COMPUTED_VALUE"""),44531.66666666667)</f>
        <v>44531.66667</v>
      </c>
      <c r="D174" s="1">
        <f>IFERROR(__xludf.DUMMYFUNCTION("""COMPUTED_VALUE"""),330.08)</f>
        <v>330.08</v>
      </c>
      <c r="E174" s="4">
        <f>IFERROR(__xludf.DUMMYFUNCTION("""COMPUTED_VALUE"""),44531.66666666667)</f>
        <v>44531.66667</v>
      </c>
      <c r="F174" s="1">
        <f>IFERROR(__xludf.DUMMYFUNCTION("""COMPUTED_VALUE"""),59.79)</f>
        <v>59.79</v>
      </c>
      <c r="G174" s="4">
        <f>IFERROR(__xludf.DUMMYFUNCTION("""COMPUTED_VALUE"""),44531.66666666667)</f>
        <v>44531.66667</v>
      </c>
      <c r="H174" s="1">
        <f>IFERROR(__xludf.DUMMYFUNCTION("""COMPUTED_VALUE"""),112.1)</f>
        <v>112.1</v>
      </c>
      <c r="I174" s="5">
        <f t="shared" si="1"/>
        <v>-0.00612975663</v>
      </c>
      <c r="K174" s="5">
        <f t="shared" si="2"/>
        <v>-0.001787445468</v>
      </c>
      <c r="L174" s="5">
        <f t="shared" si="3"/>
        <v>0.02492055528</v>
      </c>
      <c r="M174" s="5">
        <f t="shared" si="4"/>
        <v>0.02711864407</v>
      </c>
      <c r="Q174" s="5"/>
    </row>
    <row r="175">
      <c r="A175" s="4">
        <f>IFERROR(__xludf.DUMMYFUNCTION("""COMPUTED_VALUE"""),44532.66666666667)</f>
        <v>44532.66667</v>
      </c>
      <c r="B175" s="1">
        <f>IFERROR(__xludf.DUMMYFUNCTION("""COMPUTED_VALUE"""),163.76)</f>
        <v>163.76</v>
      </c>
      <c r="C175" s="4">
        <f>IFERROR(__xludf.DUMMYFUNCTION("""COMPUTED_VALUE"""),44532.66666666667)</f>
        <v>44532.66667</v>
      </c>
      <c r="D175" s="1">
        <f>IFERROR(__xludf.DUMMYFUNCTION("""COMPUTED_VALUE"""),329.49)</f>
        <v>329.49</v>
      </c>
      <c r="E175" s="4">
        <f>IFERROR(__xludf.DUMMYFUNCTION("""COMPUTED_VALUE"""),44532.66666666667)</f>
        <v>44532.66667</v>
      </c>
      <c r="F175" s="1">
        <f>IFERROR(__xludf.DUMMYFUNCTION("""COMPUTED_VALUE"""),61.28)</f>
        <v>61.28</v>
      </c>
      <c r="G175" s="4">
        <f>IFERROR(__xludf.DUMMYFUNCTION("""COMPUTED_VALUE"""),44532.66666666667)</f>
        <v>44532.66667</v>
      </c>
      <c r="H175" s="1">
        <f>IFERROR(__xludf.DUMMYFUNCTION("""COMPUTED_VALUE"""),115.14)</f>
        <v>115.14</v>
      </c>
      <c r="I175" s="5">
        <f t="shared" si="1"/>
        <v>-0.01172447484</v>
      </c>
      <c r="K175" s="5">
        <f t="shared" si="2"/>
        <v>-0.01966675772</v>
      </c>
      <c r="L175" s="5">
        <f t="shared" si="3"/>
        <v>-0.006364229765</v>
      </c>
      <c r="M175" s="5">
        <f t="shared" si="4"/>
        <v>-0.006340107695</v>
      </c>
      <c r="Q175" s="5"/>
    </row>
    <row r="176">
      <c r="A176" s="4">
        <f>IFERROR(__xludf.DUMMYFUNCTION("""COMPUTED_VALUE"""),44533.66666666667)</f>
        <v>44533.66667</v>
      </c>
      <c r="B176" s="1">
        <f>IFERROR(__xludf.DUMMYFUNCTION("""COMPUTED_VALUE"""),161.84)</f>
        <v>161.84</v>
      </c>
      <c r="C176" s="4">
        <f>IFERROR(__xludf.DUMMYFUNCTION("""COMPUTED_VALUE"""),44533.66666666667)</f>
        <v>44533.66667</v>
      </c>
      <c r="D176" s="1">
        <f>IFERROR(__xludf.DUMMYFUNCTION("""COMPUTED_VALUE"""),323.01)</f>
        <v>323.01</v>
      </c>
      <c r="E176" s="4">
        <f>IFERROR(__xludf.DUMMYFUNCTION("""COMPUTED_VALUE"""),44533.66666666667)</f>
        <v>44533.66667</v>
      </c>
      <c r="F176" s="1">
        <f>IFERROR(__xludf.DUMMYFUNCTION("""COMPUTED_VALUE"""),60.89)</f>
        <v>60.89</v>
      </c>
      <c r="G176" s="4">
        <f>IFERROR(__xludf.DUMMYFUNCTION("""COMPUTED_VALUE"""),44533.66666666667)</f>
        <v>44533.66667</v>
      </c>
      <c r="H176" s="1">
        <f>IFERROR(__xludf.DUMMYFUNCTION("""COMPUTED_VALUE"""),114.41)</f>
        <v>114.41</v>
      </c>
      <c r="I176" s="5">
        <f t="shared" si="1"/>
        <v>0.02150271873</v>
      </c>
      <c r="K176" s="5">
        <f t="shared" si="2"/>
        <v>0.009844896443</v>
      </c>
      <c r="L176" s="5">
        <f t="shared" si="3"/>
        <v>0.01133191</v>
      </c>
      <c r="M176" s="5">
        <f t="shared" si="4"/>
        <v>0.01564548553</v>
      </c>
      <c r="Q176" s="5"/>
    </row>
    <row r="177">
      <c r="A177" s="4">
        <f>IFERROR(__xludf.DUMMYFUNCTION("""COMPUTED_VALUE"""),44536.66666666667)</f>
        <v>44536.66667</v>
      </c>
      <c r="B177" s="1">
        <f>IFERROR(__xludf.DUMMYFUNCTION("""COMPUTED_VALUE"""),165.32)</f>
        <v>165.32</v>
      </c>
      <c r="C177" s="4">
        <f>IFERROR(__xludf.DUMMYFUNCTION("""COMPUTED_VALUE"""),44536.66666666667)</f>
        <v>44536.66667</v>
      </c>
      <c r="D177" s="1">
        <f>IFERROR(__xludf.DUMMYFUNCTION("""COMPUTED_VALUE"""),326.19)</f>
        <v>326.19</v>
      </c>
      <c r="E177" s="4">
        <f>IFERROR(__xludf.DUMMYFUNCTION("""COMPUTED_VALUE"""),44536.66666666667)</f>
        <v>44536.66667</v>
      </c>
      <c r="F177" s="1">
        <f>IFERROR(__xludf.DUMMYFUNCTION("""COMPUTED_VALUE"""),61.58)</f>
        <v>61.58</v>
      </c>
      <c r="G177" s="4">
        <f>IFERROR(__xludf.DUMMYFUNCTION("""COMPUTED_VALUE"""),44536.66666666667)</f>
        <v>44536.66667</v>
      </c>
      <c r="H177" s="1">
        <f>IFERROR(__xludf.DUMMYFUNCTION("""COMPUTED_VALUE"""),116.2)</f>
        <v>116.2</v>
      </c>
      <c r="I177" s="5">
        <f t="shared" si="1"/>
        <v>0.03544640697</v>
      </c>
      <c r="K177" s="5">
        <f t="shared" si="2"/>
        <v>0.02676354272</v>
      </c>
      <c r="L177" s="5">
        <f t="shared" si="3"/>
        <v>0.01120493667</v>
      </c>
      <c r="M177" s="5">
        <f t="shared" si="4"/>
        <v>0.0148020654</v>
      </c>
      <c r="Q177" s="5"/>
    </row>
    <row r="178">
      <c r="A178" s="4">
        <f>IFERROR(__xludf.DUMMYFUNCTION("""COMPUTED_VALUE"""),44537.66666666667)</f>
        <v>44537.66667</v>
      </c>
      <c r="B178" s="1">
        <f>IFERROR(__xludf.DUMMYFUNCTION("""COMPUTED_VALUE"""),171.18)</f>
        <v>171.18</v>
      </c>
      <c r="C178" s="4">
        <f>IFERROR(__xludf.DUMMYFUNCTION("""COMPUTED_VALUE"""),44537.66666666667)</f>
        <v>44537.66667</v>
      </c>
      <c r="D178" s="1">
        <f>IFERROR(__xludf.DUMMYFUNCTION("""COMPUTED_VALUE"""),334.92)</f>
        <v>334.92</v>
      </c>
      <c r="E178" s="4">
        <f>IFERROR(__xludf.DUMMYFUNCTION("""COMPUTED_VALUE"""),44537.66666666667)</f>
        <v>44537.66667</v>
      </c>
      <c r="F178" s="1">
        <f>IFERROR(__xludf.DUMMYFUNCTION("""COMPUTED_VALUE"""),62.27)</f>
        <v>62.27</v>
      </c>
      <c r="G178" s="4">
        <f>IFERROR(__xludf.DUMMYFUNCTION("""COMPUTED_VALUE"""),44537.66666666667)</f>
        <v>44537.66667</v>
      </c>
      <c r="H178" s="1">
        <f>IFERROR(__xludf.DUMMYFUNCTION("""COMPUTED_VALUE"""),117.92)</f>
        <v>117.92</v>
      </c>
      <c r="I178" s="5">
        <f t="shared" si="1"/>
        <v>0.0227830354</v>
      </c>
      <c r="K178" s="5">
        <f t="shared" si="2"/>
        <v>0.0001492893825</v>
      </c>
      <c r="L178" s="5">
        <f t="shared" si="3"/>
        <v>0.002890637546</v>
      </c>
      <c r="M178" s="5">
        <f t="shared" si="4"/>
        <v>0.004494572592</v>
      </c>
      <c r="Q178" s="5"/>
    </row>
    <row r="179">
      <c r="A179" s="4">
        <f>IFERROR(__xludf.DUMMYFUNCTION("""COMPUTED_VALUE"""),44538.66666666667)</f>
        <v>44538.66667</v>
      </c>
      <c r="B179" s="1">
        <f>IFERROR(__xludf.DUMMYFUNCTION("""COMPUTED_VALUE"""),175.08)</f>
        <v>175.08</v>
      </c>
      <c r="C179" s="4">
        <f>IFERROR(__xludf.DUMMYFUNCTION("""COMPUTED_VALUE"""),44538.66666666667)</f>
        <v>44538.66667</v>
      </c>
      <c r="D179" s="1">
        <f>IFERROR(__xludf.DUMMYFUNCTION("""COMPUTED_VALUE"""),334.97)</f>
        <v>334.97</v>
      </c>
      <c r="E179" s="4">
        <f>IFERROR(__xludf.DUMMYFUNCTION("""COMPUTED_VALUE"""),44538.66666666667)</f>
        <v>44538.66667</v>
      </c>
      <c r="F179" s="1">
        <f>IFERROR(__xludf.DUMMYFUNCTION("""COMPUTED_VALUE"""),62.45)</f>
        <v>62.45</v>
      </c>
      <c r="G179" s="4">
        <f>IFERROR(__xludf.DUMMYFUNCTION("""COMPUTED_VALUE"""),44538.66666666667)</f>
        <v>44538.66667</v>
      </c>
      <c r="H179" s="1">
        <f>IFERROR(__xludf.DUMMYFUNCTION("""COMPUTED_VALUE"""),118.45)</f>
        <v>118.45</v>
      </c>
      <c r="I179" s="5">
        <f t="shared" si="1"/>
        <v>-0.002970070825</v>
      </c>
      <c r="K179" s="5">
        <f t="shared" si="2"/>
        <v>-0.005582589486</v>
      </c>
      <c r="L179" s="5">
        <f t="shared" si="3"/>
        <v>0.00256204964</v>
      </c>
      <c r="M179" s="5">
        <f t="shared" si="4"/>
        <v>-0.002617138033</v>
      </c>
      <c r="Q179" s="5"/>
    </row>
    <row r="180">
      <c r="A180" s="4">
        <f>IFERROR(__xludf.DUMMYFUNCTION("""COMPUTED_VALUE"""),44539.66666666667)</f>
        <v>44539.66667</v>
      </c>
      <c r="B180" s="1">
        <f>IFERROR(__xludf.DUMMYFUNCTION("""COMPUTED_VALUE"""),174.56)</f>
        <v>174.56</v>
      </c>
      <c r="C180" s="4">
        <f>IFERROR(__xludf.DUMMYFUNCTION("""COMPUTED_VALUE"""),44539.66666666667)</f>
        <v>44539.66667</v>
      </c>
      <c r="D180" s="1">
        <f>IFERROR(__xludf.DUMMYFUNCTION("""COMPUTED_VALUE"""),333.1)</f>
        <v>333.1</v>
      </c>
      <c r="E180" s="4">
        <f>IFERROR(__xludf.DUMMYFUNCTION("""COMPUTED_VALUE"""),44539.66666666667)</f>
        <v>44539.66667</v>
      </c>
      <c r="F180" s="1">
        <f>IFERROR(__xludf.DUMMYFUNCTION("""COMPUTED_VALUE"""),62.61)</f>
        <v>62.61</v>
      </c>
      <c r="G180" s="4">
        <f>IFERROR(__xludf.DUMMYFUNCTION("""COMPUTED_VALUE"""),44539.66666666667)</f>
        <v>44539.66667</v>
      </c>
      <c r="H180" s="1">
        <f>IFERROR(__xludf.DUMMYFUNCTION("""COMPUTED_VALUE"""),118.14)</f>
        <v>118.14</v>
      </c>
      <c r="I180" s="5">
        <f t="shared" si="1"/>
        <v>0.02801329056</v>
      </c>
      <c r="K180" s="5">
        <f t="shared" si="2"/>
        <v>0.02833983789</v>
      </c>
      <c r="L180" s="5">
        <f t="shared" si="3"/>
        <v>0.00638875579</v>
      </c>
      <c r="M180" s="5">
        <f t="shared" si="4"/>
        <v>0.001692906721</v>
      </c>
      <c r="Q180" s="5"/>
    </row>
    <row r="181">
      <c r="A181" s="4">
        <f>IFERROR(__xludf.DUMMYFUNCTION("""COMPUTED_VALUE"""),44540.66666666667)</f>
        <v>44540.66667</v>
      </c>
      <c r="B181" s="1">
        <f>IFERROR(__xludf.DUMMYFUNCTION("""COMPUTED_VALUE"""),179.45)</f>
        <v>179.45</v>
      </c>
      <c r="C181" s="4">
        <f>IFERROR(__xludf.DUMMYFUNCTION("""COMPUTED_VALUE"""),44540.66666666667)</f>
        <v>44540.66667</v>
      </c>
      <c r="D181" s="1">
        <f>IFERROR(__xludf.DUMMYFUNCTION("""COMPUTED_VALUE"""),342.54)</f>
        <v>342.54</v>
      </c>
      <c r="E181" s="4">
        <f>IFERROR(__xludf.DUMMYFUNCTION("""COMPUTED_VALUE"""),44540.66666666667)</f>
        <v>44540.66667</v>
      </c>
      <c r="F181" s="1">
        <f>IFERROR(__xludf.DUMMYFUNCTION("""COMPUTED_VALUE"""),63.01)</f>
        <v>63.01</v>
      </c>
      <c r="G181" s="4">
        <f>IFERROR(__xludf.DUMMYFUNCTION("""COMPUTED_VALUE"""),44540.66666666667)</f>
        <v>44540.66667</v>
      </c>
      <c r="H181" s="1">
        <f>IFERROR(__xludf.DUMMYFUNCTION("""COMPUTED_VALUE"""),118.34)</f>
        <v>118.34</v>
      </c>
      <c r="I181" s="5">
        <f t="shared" si="1"/>
        <v>-0.02067428253</v>
      </c>
      <c r="K181" s="5">
        <f t="shared" si="2"/>
        <v>-0.009166812635</v>
      </c>
      <c r="L181" s="5">
        <f t="shared" si="3"/>
        <v>-0.02190128551</v>
      </c>
      <c r="M181" s="5">
        <f t="shared" si="4"/>
        <v>-0.02078756126</v>
      </c>
      <c r="Q181" s="5"/>
    </row>
    <row r="182">
      <c r="A182" s="4">
        <f>IFERROR(__xludf.DUMMYFUNCTION("""COMPUTED_VALUE"""),44543.66666666667)</f>
        <v>44543.66667</v>
      </c>
      <c r="B182" s="1">
        <f>IFERROR(__xludf.DUMMYFUNCTION("""COMPUTED_VALUE"""),175.74)</f>
        <v>175.74</v>
      </c>
      <c r="C182" s="4">
        <f>IFERROR(__xludf.DUMMYFUNCTION("""COMPUTED_VALUE"""),44543.66666666667)</f>
        <v>44543.66667</v>
      </c>
      <c r="D182" s="1">
        <f>IFERROR(__xludf.DUMMYFUNCTION("""COMPUTED_VALUE"""),339.4)</f>
        <v>339.4</v>
      </c>
      <c r="E182" s="4">
        <f>IFERROR(__xludf.DUMMYFUNCTION("""COMPUTED_VALUE"""),44543.66666666667)</f>
        <v>44543.66667</v>
      </c>
      <c r="F182" s="1">
        <f>IFERROR(__xludf.DUMMYFUNCTION("""COMPUTED_VALUE"""),61.63)</f>
        <v>61.63</v>
      </c>
      <c r="G182" s="4">
        <f>IFERROR(__xludf.DUMMYFUNCTION("""COMPUTED_VALUE"""),44543.66666666667)</f>
        <v>44543.66667</v>
      </c>
      <c r="H182" s="1">
        <f>IFERROR(__xludf.DUMMYFUNCTION("""COMPUTED_VALUE"""),115.88)</f>
        <v>115.88</v>
      </c>
      <c r="I182" s="5">
        <f t="shared" si="1"/>
        <v>-0.008023216115</v>
      </c>
      <c r="K182" s="5">
        <f t="shared" si="2"/>
        <v>-0.03258691809</v>
      </c>
      <c r="L182" s="5">
        <f t="shared" si="3"/>
        <v>-0.001460327762</v>
      </c>
      <c r="M182" s="5">
        <f t="shared" si="4"/>
        <v>0.002934069727</v>
      </c>
      <c r="Q182" s="5"/>
    </row>
    <row r="183">
      <c r="A183" s="4">
        <f>IFERROR(__xludf.DUMMYFUNCTION("""COMPUTED_VALUE"""),44544.66666666667)</f>
        <v>44544.66667</v>
      </c>
      <c r="B183" s="1">
        <f>IFERROR(__xludf.DUMMYFUNCTION("""COMPUTED_VALUE"""),174.33)</f>
        <v>174.33</v>
      </c>
      <c r="C183" s="4">
        <f>IFERROR(__xludf.DUMMYFUNCTION("""COMPUTED_VALUE"""),44544.66666666667)</f>
        <v>44544.66667</v>
      </c>
      <c r="D183" s="1">
        <f>IFERROR(__xludf.DUMMYFUNCTION("""COMPUTED_VALUE"""),328.34)</f>
        <v>328.34</v>
      </c>
      <c r="E183" s="4">
        <f>IFERROR(__xludf.DUMMYFUNCTION("""COMPUTED_VALUE"""),44544.66666666667)</f>
        <v>44544.66667</v>
      </c>
      <c r="F183" s="1">
        <f>IFERROR(__xludf.DUMMYFUNCTION("""COMPUTED_VALUE"""),61.54)</f>
        <v>61.54</v>
      </c>
      <c r="G183" s="4">
        <f>IFERROR(__xludf.DUMMYFUNCTION("""COMPUTED_VALUE"""),44544.66666666667)</f>
        <v>44544.66667</v>
      </c>
      <c r="H183" s="1">
        <f>IFERROR(__xludf.DUMMYFUNCTION("""COMPUTED_VALUE"""),116.22)</f>
        <v>116.22</v>
      </c>
      <c r="I183" s="5">
        <f t="shared" si="1"/>
        <v>0.02850914931</v>
      </c>
      <c r="K183" s="5">
        <f t="shared" si="2"/>
        <v>0.0192178839</v>
      </c>
      <c r="L183" s="5">
        <f t="shared" si="3"/>
        <v>-0.004387390315</v>
      </c>
      <c r="M183" s="5">
        <f t="shared" si="4"/>
        <v>-0.005678884874</v>
      </c>
      <c r="Q183" s="5"/>
    </row>
    <row r="184">
      <c r="A184" s="4">
        <f>IFERROR(__xludf.DUMMYFUNCTION("""COMPUTED_VALUE"""),44545.66666666667)</f>
        <v>44545.66667</v>
      </c>
      <c r="B184" s="1">
        <f>IFERROR(__xludf.DUMMYFUNCTION("""COMPUTED_VALUE"""),179.3)</f>
        <v>179.3</v>
      </c>
      <c r="C184" s="4">
        <f>IFERROR(__xludf.DUMMYFUNCTION("""COMPUTED_VALUE"""),44545.66666666667)</f>
        <v>44545.66667</v>
      </c>
      <c r="D184" s="1">
        <f>IFERROR(__xludf.DUMMYFUNCTION("""COMPUTED_VALUE"""),334.65)</f>
        <v>334.65</v>
      </c>
      <c r="E184" s="4">
        <f>IFERROR(__xludf.DUMMYFUNCTION("""COMPUTED_VALUE"""),44545.66666666667)</f>
        <v>44545.66667</v>
      </c>
      <c r="F184" s="1">
        <f>IFERROR(__xludf.DUMMYFUNCTION("""COMPUTED_VALUE"""),61.27)</f>
        <v>61.27</v>
      </c>
      <c r="G184" s="4">
        <f>IFERROR(__xludf.DUMMYFUNCTION("""COMPUTED_VALUE"""),44545.66666666667)</f>
        <v>44545.66667</v>
      </c>
      <c r="H184" s="1">
        <f>IFERROR(__xludf.DUMMYFUNCTION("""COMPUTED_VALUE"""),115.56)</f>
        <v>115.56</v>
      </c>
      <c r="I184" s="5">
        <f t="shared" si="1"/>
        <v>-0.03926380368</v>
      </c>
      <c r="K184" s="5">
        <f t="shared" si="2"/>
        <v>-0.02913491708</v>
      </c>
      <c r="L184" s="5">
        <f t="shared" si="3"/>
        <v>0.001632120124</v>
      </c>
      <c r="M184" s="5">
        <f t="shared" si="4"/>
        <v>0.009345794393</v>
      </c>
      <c r="Q184" s="5"/>
    </row>
    <row r="185">
      <c r="A185" s="4">
        <f>IFERROR(__xludf.DUMMYFUNCTION("""COMPUTED_VALUE"""),44546.66666666667)</f>
        <v>44546.66667</v>
      </c>
      <c r="B185" s="1">
        <f>IFERROR(__xludf.DUMMYFUNCTION("""COMPUTED_VALUE"""),172.26)</f>
        <v>172.26</v>
      </c>
      <c r="C185" s="4">
        <f>IFERROR(__xludf.DUMMYFUNCTION("""COMPUTED_VALUE"""),44546.66666666667)</f>
        <v>44546.66667</v>
      </c>
      <c r="D185" s="1">
        <f>IFERROR(__xludf.DUMMYFUNCTION("""COMPUTED_VALUE"""),324.9)</f>
        <v>324.9</v>
      </c>
      <c r="E185" s="4">
        <f>IFERROR(__xludf.DUMMYFUNCTION("""COMPUTED_VALUE"""),44546.66666666667)</f>
        <v>44546.66667</v>
      </c>
      <c r="F185" s="1">
        <f>IFERROR(__xludf.DUMMYFUNCTION("""COMPUTED_VALUE"""),61.37)</f>
        <v>61.37</v>
      </c>
      <c r="G185" s="4">
        <f>IFERROR(__xludf.DUMMYFUNCTION("""COMPUTED_VALUE"""),44546.66666666667)</f>
        <v>44546.66667</v>
      </c>
      <c r="H185" s="1">
        <f>IFERROR(__xludf.DUMMYFUNCTION("""COMPUTED_VALUE"""),116.64)</f>
        <v>116.64</v>
      </c>
      <c r="I185" s="5">
        <f t="shared" si="1"/>
        <v>-0.006501799605</v>
      </c>
      <c r="K185" s="5">
        <f t="shared" si="2"/>
        <v>-0.003385657125</v>
      </c>
      <c r="L185" s="5">
        <f t="shared" si="3"/>
        <v>-0.02183477269</v>
      </c>
      <c r="M185" s="5">
        <f t="shared" si="4"/>
        <v>-0.02606310014</v>
      </c>
      <c r="Q185" s="5"/>
    </row>
    <row r="186">
      <c r="A186" s="4">
        <f>IFERROR(__xludf.DUMMYFUNCTION("""COMPUTED_VALUE"""),44547.66666666667)</f>
        <v>44547.66667</v>
      </c>
      <c r="B186" s="1">
        <f>IFERROR(__xludf.DUMMYFUNCTION("""COMPUTED_VALUE"""),171.14)</f>
        <v>171.14</v>
      </c>
      <c r="C186" s="4">
        <f>IFERROR(__xludf.DUMMYFUNCTION("""COMPUTED_VALUE"""),44547.66666666667)</f>
        <v>44547.66667</v>
      </c>
      <c r="D186" s="1">
        <f>IFERROR(__xludf.DUMMYFUNCTION("""COMPUTED_VALUE"""),323.8)</f>
        <v>323.8</v>
      </c>
      <c r="E186" s="4">
        <f>IFERROR(__xludf.DUMMYFUNCTION("""COMPUTED_VALUE"""),44547.66666666667)</f>
        <v>44547.66667</v>
      </c>
      <c r="F186" s="1">
        <f>IFERROR(__xludf.DUMMYFUNCTION("""COMPUTED_VALUE"""),60.03)</f>
        <v>60.03</v>
      </c>
      <c r="G186" s="4">
        <f>IFERROR(__xludf.DUMMYFUNCTION("""COMPUTED_VALUE"""),44547.66666666667)</f>
        <v>44547.66667</v>
      </c>
      <c r="H186" s="1">
        <f>IFERROR(__xludf.DUMMYFUNCTION("""COMPUTED_VALUE"""),113.6)</f>
        <v>113.6</v>
      </c>
      <c r="I186" s="5">
        <f t="shared" si="1"/>
        <v>-0.008122005376</v>
      </c>
      <c r="K186" s="5">
        <f t="shared" si="2"/>
        <v>-0.01201358863</v>
      </c>
      <c r="L186" s="5">
        <f t="shared" si="3"/>
        <v>-0.01449275362</v>
      </c>
      <c r="M186" s="5">
        <f t="shared" si="4"/>
        <v>0.0004401408451</v>
      </c>
      <c r="Q186" s="5"/>
    </row>
    <row r="187">
      <c r="A187" s="4">
        <f>IFERROR(__xludf.DUMMYFUNCTION("""COMPUTED_VALUE"""),44550.66666666667)</f>
        <v>44550.66667</v>
      </c>
      <c r="B187" s="1">
        <f>IFERROR(__xludf.DUMMYFUNCTION("""COMPUTED_VALUE"""),169.75)</f>
        <v>169.75</v>
      </c>
      <c r="C187" s="4">
        <f>IFERROR(__xludf.DUMMYFUNCTION("""COMPUTED_VALUE"""),44550.66666666667)</f>
        <v>44550.66667</v>
      </c>
      <c r="D187" s="1">
        <f>IFERROR(__xludf.DUMMYFUNCTION("""COMPUTED_VALUE"""),319.91)</f>
        <v>319.91</v>
      </c>
      <c r="E187" s="4">
        <f>IFERROR(__xludf.DUMMYFUNCTION("""COMPUTED_VALUE"""),44550.66666666667)</f>
        <v>44550.66667</v>
      </c>
      <c r="F187" s="1">
        <f>IFERROR(__xludf.DUMMYFUNCTION("""COMPUTED_VALUE"""),59.16)</f>
        <v>59.16</v>
      </c>
      <c r="G187" s="4">
        <f>IFERROR(__xludf.DUMMYFUNCTION("""COMPUTED_VALUE"""),44550.66666666667)</f>
        <v>44550.66667</v>
      </c>
      <c r="H187" s="1">
        <f>IFERROR(__xludf.DUMMYFUNCTION("""COMPUTED_VALUE"""),113.65)</f>
        <v>113.65</v>
      </c>
      <c r="I187" s="5">
        <f t="shared" si="1"/>
        <v>0.01908689249</v>
      </c>
      <c r="K187" s="5">
        <f t="shared" si="2"/>
        <v>0.02306898815</v>
      </c>
      <c r="L187" s="5">
        <f t="shared" si="3"/>
        <v>0.02265043949</v>
      </c>
      <c r="M187" s="5">
        <f t="shared" si="4"/>
        <v>0.01601407831</v>
      </c>
      <c r="Q187" s="5"/>
    </row>
    <row r="188">
      <c r="A188" s="4">
        <f>IFERROR(__xludf.DUMMYFUNCTION("""COMPUTED_VALUE"""),44551.66666666667)</f>
        <v>44551.66667</v>
      </c>
      <c r="B188" s="1">
        <f>IFERROR(__xludf.DUMMYFUNCTION("""COMPUTED_VALUE"""),172.99)</f>
        <v>172.99</v>
      </c>
      <c r="C188" s="4">
        <f>IFERROR(__xludf.DUMMYFUNCTION("""COMPUTED_VALUE"""),44551.66666666667)</f>
        <v>44551.66667</v>
      </c>
      <c r="D188" s="1">
        <f>IFERROR(__xludf.DUMMYFUNCTION("""COMPUTED_VALUE"""),327.29)</f>
        <v>327.29</v>
      </c>
      <c r="E188" s="4">
        <f>IFERROR(__xludf.DUMMYFUNCTION("""COMPUTED_VALUE"""),44551.66666666667)</f>
        <v>44551.66667</v>
      </c>
      <c r="F188" s="1">
        <f>IFERROR(__xludf.DUMMYFUNCTION("""COMPUTED_VALUE"""),60.5)</f>
        <v>60.5</v>
      </c>
      <c r="G188" s="4">
        <f>IFERROR(__xludf.DUMMYFUNCTION("""COMPUTED_VALUE"""),44551.66666666667)</f>
        <v>44551.66667</v>
      </c>
      <c r="H188" s="1">
        <f>IFERROR(__xludf.DUMMYFUNCTION("""COMPUTED_VALUE"""),115.47)</f>
        <v>115.47</v>
      </c>
      <c r="I188" s="5">
        <f t="shared" si="1"/>
        <v>0.01531880456</v>
      </c>
      <c r="K188" s="5">
        <f t="shared" si="2"/>
        <v>0.0180573803</v>
      </c>
      <c r="L188" s="5">
        <f t="shared" si="3"/>
        <v>0.008099173554</v>
      </c>
      <c r="M188" s="5">
        <f t="shared" si="4"/>
        <v>0.00571577033</v>
      </c>
      <c r="Q188" s="5"/>
    </row>
    <row r="189">
      <c r="A189" s="4">
        <f>IFERROR(__xludf.DUMMYFUNCTION("""COMPUTED_VALUE"""),44552.66666666667)</f>
        <v>44552.66667</v>
      </c>
      <c r="B189" s="1">
        <f>IFERROR(__xludf.DUMMYFUNCTION("""COMPUTED_VALUE"""),175.64)</f>
        <v>175.64</v>
      </c>
      <c r="C189" s="4">
        <f>IFERROR(__xludf.DUMMYFUNCTION("""COMPUTED_VALUE"""),44552.66666666667)</f>
        <v>44552.66667</v>
      </c>
      <c r="D189" s="1">
        <f>IFERROR(__xludf.DUMMYFUNCTION("""COMPUTED_VALUE"""),333.2)</f>
        <v>333.2</v>
      </c>
      <c r="E189" s="4">
        <f>IFERROR(__xludf.DUMMYFUNCTION("""COMPUTED_VALUE"""),44552.66666666667)</f>
        <v>44552.66667</v>
      </c>
      <c r="F189" s="1">
        <f>IFERROR(__xludf.DUMMYFUNCTION("""COMPUTED_VALUE"""),60.99)</f>
        <v>60.99</v>
      </c>
      <c r="G189" s="4">
        <f>IFERROR(__xludf.DUMMYFUNCTION("""COMPUTED_VALUE"""),44552.66666666667)</f>
        <v>44552.66667</v>
      </c>
      <c r="H189" s="1">
        <f>IFERROR(__xludf.DUMMYFUNCTION("""COMPUTED_VALUE"""),116.13)</f>
        <v>116.13</v>
      </c>
      <c r="I189" s="5">
        <f t="shared" si="1"/>
        <v>0.003643816898</v>
      </c>
      <c r="K189" s="5">
        <f t="shared" si="2"/>
        <v>0.004471788715</v>
      </c>
      <c r="L189" s="5">
        <f t="shared" si="3"/>
        <v>0.0004918839154</v>
      </c>
      <c r="M189" s="5">
        <f t="shared" si="4"/>
        <v>0.002411091019</v>
      </c>
      <c r="Q189" s="5"/>
    </row>
    <row r="190">
      <c r="A190" s="4">
        <f>IFERROR(__xludf.DUMMYFUNCTION("""COMPUTED_VALUE"""),44553.66666666667)</f>
        <v>44553.66667</v>
      </c>
      <c r="B190" s="1">
        <f>IFERROR(__xludf.DUMMYFUNCTION("""COMPUTED_VALUE"""),176.28)</f>
        <v>176.28</v>
      </c>
      <c r="C190" s="4">
        <f>IFERROR(__xludf.DUMMYFUNCTION("""COMPUTED_VALUE"""),44553.66666666667)</f>
        <v>44553.66667</v>
      </c>
      <c r="D190" s="1">
        <f>IFERROR(__xludf.DUMMYFUNCTION("""COMPUTED_VALUE"""),334.69)</f>
        <v>334.69</v>
      </c>
      <c r="E190" s="4">
        <f>IFERROR(__xludf.DUMMYFUNCTION("""COMPUTED_VALUE"""),44553.66666666667)</f>
        <v>44553.66667</v>
      </c>
      <c r="F190" s="1">
        <f>IFERROR(__xludf.DUMMYFUNCTION("""COMPUTED_VALUE"""),61.02)</f>
        <v>61.02</v>
      </c>
      <c r="G190" s="4">
        <f>IFERROR(__xludf.DUMMYFUNCTION("""COMPUTED_VALUE"""),44553.66666666667)</f>
        <v>44553.66667</v>
      </c>
      <c r="H190" s="1">
        <f>IFERROR(__xludf.DUMMYFUNCTION("""COMPUTED_VALUE"""),116.41)</f>
        <v>116.41</v>
      </c>
      <c r="I190" s="5">
        <f t="shared" si="1"/>
        <v>0.0229748128</v>
      </c>
      <c r="K190" s="5">
        <f t="shared" si="2"/>
        <v>0.02318563447</v>
      </c>
      <c r="L190" s="5">
        <f t="shared" si="3"/>
        <v>0.01425762045</v>
      </c>
      <c r="M190" s="5">
        <f t="shared" si="4"/>
        <v>0.02044497895</v>
      </c>
      <c r="Q190" s="5"/>
    </row>
    <row r="191">
      <c r="A191" s="4">
        <f>IFERROR(__xludf.DUMMYFUNCTION("""COMPUTED_VALUE"""),44557.66666666667)</f>
        <v>44557.66667</v>
      </c>
      <c r="B191" s="1">
        <f>IFERROR(__xludf.DUMMYFUNCTION("""COMPUTED_VALUE"""),180.33)</f>
        <v>180.33</v>
      </c>
      <c r="C191" s="4">
        <f>IFERROR(__xludf.DUMMYFUNCTION("""COMPUTED_VALUE"""),44557.66666666667)</f>
        <v>44557.66667</v>
      </c>
      <c r="D191" s="1">
        <f>IFERROR(__xludf.DUMMYFUNCTION("""COMPUTED_VALUE"""),342.45)</f>
        <v>342.45</v>
      </c>
      <c r="E191" s="4">
        <f>IFERROR(__xludf.DUMMYFUNCTION("""COMPUTED_VALUE"""),44557.66666666667)</f>
        <v>44557.66667</v>
      </c>
      <c r="F191" s="1">
        <f>IFERROR(__xludf.DUMMYFUNCTION("""COMPUTED_VALUE"""),61.89)</f>
        <v>61.89</v>
      </c>
      <c r="G191" s="4">
        <f>IFERROR(__xludf.DUMMYFUNCTION("""COMPUTED_VALUE"""),44557.66666666667)</f>
        <v>44557.66667</v>
      </c>
      <c r="H191" s="1">
        <f>IFERROR(__xludf.DUMMYFUNCTION("""COMPUTED_VALUE"""),118.79)</f>
        <v>118.79</v>
      </c>
      <c r="I191" s="5">
        <f t="shared" si="1"/>
        <v>-0.005767204569</v>
      </c>
      <c r="K191" s="5">
        <f t="shared" si="2"/>
        <v>-0.003504161191</v>
      </c>
      <c r="L191" s="5">
        <f t="shared" si="3"/>
        <v>-0.003231539829</v>
      </c>
      <c r="M191" s="5">
        <f t="shared" si="4"/>
        <v>-0.001936189915</v>
      </c>
      <c r="Q191" s="5"/>
    </row>
    <row r="192">
      <c r="A192" s="4">
        <f>IFERROR(__xludf.DUMMYFUNCTION("""COMPUTED_VALUE"""),44558.66666666667)</f>
        <v>44558.66667</v>
      </c>
      <c r="B192" s="1">
        <f>IFERROR(__xludf.DUMMYFUNCTION("""COMPUTED_VALUE"""),179.29)</f>
        <v>179.29</v>
      </c>
      <c r="C192" s="4">
        <f>IFERROR(__xludf.DUMMYFUNCTION("""COMPUTED_VALUE"""),44558.66666666667)</f>
        <v>44558.66667</v>
      </c>
      <c r="D192" s="1">
        <f>IFERROR(__xludf.DUMMYFUNCTION("""COMPUTED_VALUE"""),341.25)</f>
        <v>341.25</v>
      </c>
      <c r="E192" s="4">
        <f>IFERROR(__xludf.DUMMYFUNCTION("""COMPUTED_VALUE"""),44558.66666666667)</f>
        <v>44558.66667</v>
      </c>
      <c r="F192" s="1">
        <f>IFERROR(__xludf.DUMMYFUNCTION("""COMPUTED_VALUE"""),61.69)</f>
        <v>61.69</v>
      </c>
      <c r="G192" s="4">
        <f>IFERROR(__xludf.DUMMYFUNCTION("""COMPUTED_VALUE"""),44558.66666666667)</f>
        <v>44558.66667</v>
      </c>
      <c r="H192" s="1">
        <f>IFERROR(__xludf.DUMMYFUNCTION("""COMPUTED_VALUE"""),118.56)</f>
        <v>118.56</v>
      </c>
      <c r="I192" s="5">
        <f t="shared" si="1"/>
        <v>0.0005019800323</v>
      </c>
      <c r="K192" s="5">
        <f t="shared" si="2"/>
        <v>0.002051282051</v>
      </c>
      <c r="L192" s="5">
        <f t="shared" si="3"/>
        <v>-0.008753444643</v>
      </c>
      <c r="M192" s="5">
        <f t="shared" si="4"/>
        <v>-0.005145074224</v>
      </c>
      <c r="Q192" s="5"/>
    </row>
    <row r="193">
      <c r="A193" s="4">
        <f>IFERROR(__xludf.DUMMYFUNCTION("""COMPUTED_VALUE"""),44559.66666666667)</f>
        <v>44559.66667</v>
      </c>
      <c r="B193" s="1">
        <f>IFERROR(__xludf.DUMMYFUNCTION("""COMPUTED_VALUE"""),179.38)</f>
        <v>179.38</v>
      </c>
      <c r="C193" s="4">
        <f>IFERROR(__xludf.DUMMYFUNCTION("""COMPUTED_VALUE"""),44559.66666666667)</f>
        <v>44559.66667</v>
      </c>
      <c r="D193" s="1">
        <f>IFERROR(__xludf.DUMMYFUNCTION("""COMPUTED_VALUE"""),341.95)</f>
        <v>341.95</v>
      </c>
      <c r="E193" s="4">
        <f>IFERROR(__xludf.DUMMYFUNCTION("""COMPUTED_VALUE"""),44559.66666666667)</f>
        <v>44559.66667</v>
      </c>
      <c r="F193" s="1">
        <f>IFERROR(__xludf.DUMMYFUNCTION("""COMPUTED_VALUE"""),61.15)</f>
        <v>61.15</v>
      </c>
      <c r="G193" s="4">
        <f>IFERROR(__xludf.DUMMYFUNCTION("""COMPUTED_VALUE"""),44559.66666666667)</f>
        <v>44559.66667</v>
      </c>
      <c r="H193" s="1">
        <f>IFERROR(__xludf.DUMMYFUNCTION("""COMPUTED_VALUE"""),117.95)</f>
        <v>117.95</v>
      </c>
      <c r="I193" s="5">
        <f t="shared" si="1"/>
        <v>-0.006578213848</v>
      </c>
      <c r="K193" s="5">
        <f t="shared" si="2"/>
        <v>-0.007691182921</v>
      </c>
      <c r="L193" s="5">
        <f t="shared" si="3"/>
        <v>-0.005887162715</v>
      </c>
      <c r="M193" s="5">
        <f t="shared" si="4"/>
        <v>-0.004408647732</v>
      </c>
      <c r="Q193" s="5"/>
    </row>
    <row r="194">
      <c r="A194" s="4">
        <f>IFERROR(__xludf.DUMMYFUNCTION("""COMPUTED_VALUE"""),44560.66666666667)</f>
        <v>44560.66667</v>
      </c>
      <c r="B194" s="1">
        <f>IFERROR(__xludf.DUMMYFUNCTION("""COMPUTED_VALUE"""),178.2)</f>
        <v>178.2</v>
      </c>
      <c r="C194" s="4">
        <f>IFERROR(__xludf.DUMMYFUNCTION("""COMPUTED_VALUE"""),44560.66666666667)</f>
        <v>44560.66667</v>
      </c>
      <c r="D194" s="1">
        <f>IFERROR(__xludf.DUMMYFUNCTION("""COMPUTED_VALUE"""),339.32)</f>
        <v>339.32</v>
      </c>
      <c r="E194" s="4">
        <f>IFERROR(__xludf.DUMMYFUNCTION("""COMPUTED_VALUE"""),44560.66666666667)</f>
        <v>44560.66667</v>
      </c>
      <c r="F194" s="1">
        <f>IFERROR(__xludf.DUMMYFUNCTION("""COMPUTED_VALUE"""),60.79)</f>
        <v>60.79</v>
      </c>
      <c r="G194" s="4">
        <f>IFERROR(__xludf.DUMMYFUNCTION("""COMPUTED_VALUE"""),44560.66666666667)</f>
        <v>44560.66667</v>
      </c>
      <c r="H194" s="1">
        <f>IFERROR(__xludf.DUMMYFUNCTION("""COMPUTED_VALUE"""),117.43)</f>
        <v>117.43</v>
      </c>
      <c r="I194" s="5">
        <f t="shared" si="1"/>
        <v>-0.003535353535</v>
      </c>
      <c r="K194" s="5">
        <f t="shared" si="2"/>
        <v>-0.008841211835</v>
      </c>
      <c r="L194" s="5">
        <f t="shared" si="3"/>
        <v>0.00658002961</v>
      </c>
      <c r="M194" s="5">
        <f t="shared" si="4"/>
        <v>-0.000681256919</v>
      </c>
      <c r="Q194" s="5"/>
    </row>
    <row r="195">
      <c r="A195" s="4">
        <f>IFERROR(__xludf.DUMMYFUNCTION("""COMPUTED_VALUE"""),44561.66666666667)</f>
        <v>44561.66667</v>
      </c>
      <c r="B195" s="1">
        <f>IFERROR(__xludf.DUMMYFUNCTION("""COMPUTED_VALUE"""),177.57)</f>
        <v>177.57</v>
      </c>
      <c r="C195" s="4">
        <f>IFERROR(__xludf.DUMMYFUNCTION("""COMPUTED_VALUE"""),44561.66666666667)</f>
        <v>44561.66667</v>
      </c>
      <c r="D195" s="1">
        <f>IFERROR(__xludf.DUMMYFUNCTION("""COMPUTED_VALUE"""),336.32)</f>
        <v>336.32</v>
      </c>
      <c r="E195" s="4">
        <f>IFERROR(__xludf.DUMMYFUNCTION("""COMPUTED_VALUE"""),44561.66666666667)</f>
        <v>44561.66667</v>
      </c>
      <c r="F195" s="1">
        <f>IFERROR(__xludf.DUMMYFUNCTION("""COMPUTED_VALUE"""),61.19)</f>
        <v>61.19</v>
      </c>
      <c r="G195" s="4">
        <f>IFERROR(__xludf.DUMMYFUNCTION("""COMPUTED_VALUE"""),44561.66666666667)</f>
        <v>44561.66667</v>
      </c>
      <c r="H195" s="1">
        <f>IFERROR(__xludf.DUMMYFUNCTION("""COMPUTED_VALUE"""),117.35)</f>
        <v>117.35</v>
      </c>
      <c r="I195" s="5">
        <f t="shared" si="1"/>
        <v>0.02500422369</v>
      </c>
      <c r="K195" s="5">
        <f t="shared" si="2"/>
        <v>-0.004668173168</v>
      </c>
      <c r="L195" s="5">
        <f t="shared" si="3"/>
        <v>0.03840496813</v>
      </c>
      <c r="M195" s="5">
        <f t="shared" si="4"/>
        <v>0.01627609715</v>
      </c>
      <c r="Q195" s="5"/>
    </row>
    <row r="196">
      <c r="A196" s="4">
        <f>IFERROR(__xludf.DUMMYFUNCTION("""COMPUTED_VALUE"""),44564.66666666667)</f>
        <v>44564.66667</v>
      </c>
      <c r="B196" s="1">
        <f>IFERROR(__xludf.DUMMYFUNCTION("""COMPUTED_VALUE"""),182.01)</f>
        <v>182.01</v>
      </c>
      <c r="C196" s="4">
        <f>IFERROR(__xludf.DUMMYFUNCTION("""COMPUTED_VALUE"""),44564.66666666667)</f>
        <v>44564.66667</v>
      </c>
      <c r="D196" s="1">
        <f>IFERROR(__xludf.DUMMYFUNCTION("""COMPUTED_VALUE"""),334.75)</f>
        <v>334.75</v>
      </c>
      <c r="E196" s="4">
        <f>IFERROR(__xludf.DUMMYFUNCTION("""COMPUTED_VALUE"""),44564.66666666667)</f>
        <v>44564.66667</v>
      </c>
      <c r="F196" s="1">
        <f>IFERROR(__xludf.DUMMYFUNCTION("""COMPUTED_VALUE"""),63.54)</f>
        <v>63.54</v>
      </c>
      <c r="G196" s="4">
        <f>IFERROR(__xludf.DUMMYFUNCTION("""COMPUTED_VALUE"""),44564.66666666667)</f>
        <v>44564.66667</v>
      </c>
      <c r="H196" s="1">
        <f>IFERROR(__xludf.DUMMYFUNCTION("""COMPUTED_VALUE"""),119.26)</f>
        <v>119.26</v>
      </c>
      <c r="I196" s="5">
        <f t="shared" si="1"/>
        <v>-0.01269161035</v>
      </c>
      <c r="K196" s="5">
        <f t="shared" si="2"/>
        <v>-0.01714712472</v>
      </c>
      <c r="L196" s="5">
        <f t="shared" si="3"/>
        <v>0.03761410135</v>
      </c>
      <c r="M196" s="5">
        <f t="shared" si="4"/>
        <v>0.01819553916</v>
      </c>
      <c r="Q196" s="5"/>
    </row>
    <row r="197">
      <c r="A197" s="4">
        <f>IFERROR(__xludf.DUMMYFUNCTION("""COMPUTED_VALUE"""),44565.66666666667)</f>
        <v>44565.66667</v>
      </c>
      <c r="B197" s="1">
        <f>IFERROR(__xludf.DUMMYFUNCTION("""COMPUTED_VALUE"""),179.7)</f>
        <v>179.7</v>
      </c>
      <c r="C197" s="4">
        <f>IFERROR(__xludf.DUMMYFUNCTION("""COMPUTED_VALUE"""),44565.66666666667)</f>
        <v>44565.66667</v>
      </c>
      <c r="D197" s="1">
        <f>IFERROR(__xludf.DUMMYFUNCTION("""COMPUTED_VALUE"""),329.01)</f>
        <v>329.01</v>
      </c>
      <c r="E197" s="4">
        <f>IFERROR(__xludf.DUMMYFUNCTION("""COMPUTED_VALUE"""),44565.66666666667)</f>
        <v>44565.66667</v>
      </c>
      <c r="F197" s="1">
        <f>IFERROR(__xludf.DUMMYFUNCTION("""COMPUTED_VALUE"""),65.93)</f>
        <v>65.93</v>
      </c>
      <c r="G197" s="4">
        <f>IFERROR(__xludf.DUMMYFUNCTION("""COMPUTED_VALUE"""),44565.66666666667)</f>
        <v>44565.66667</v>
      </c>
      <c r="H197" s="1">
        <f>IFERROR(__xludf.DUMMYFUNCTION("""COMPUTED_VALUE"""),121.43)</f>
        <v>121.43</v>
      </c>
      <c r="I197" s="5">
        <f t="shared" si="1"/>
        <v>-0.0265998887</v>
      </c>
      <c r="K197" s="5">
        <f t="shared" si="2"/>
        <v>-0.03838789095</v>
      </c>
      <c r="L197" s="5">
        <f t="shared" si="3"/>
        <v>0.01243743364</v>
      </c>
      <c r="M197" s="5">
        <f t="shared" si="4"/>
        <v>0.006505805814</v>
      </c>
      <c r="Q197" s="5"/>
    </row>
    <row r="198">
      <c r="A198" s="4">
        <f>IFERROR(__xludf.DUMMYFUNCTION("""COMPUTED_VALUE"""),44566.66666666667)</f>
        <v>44566.66667</v>
      </c>
      <c r="B198" s="1">
        <f>IFERROR(__xludf.DUMMYFUNCTION("""COMPUTED_VALUE"""),174.92)</f>
        <v>174.92</v>
      </c>
      <c r="C198" s="4">
        <f>IFERROR(__xludf.DUMMYFUNCTION("""COMPUTED_VALUE"""),44566.66666666667)</f>
        <v>44566.66667</v>
      </c>
      <c r="D198" s="1">
        <f>IFERROR(__xludf.DUMMYFUNCTION("""COMPUTED_VALUE"""),316.38)</f>
        <v>316.38</v>
      </c>
      <c r="E198" s="4">
        <f>IFERROR(__xludf.DUMMYFUNCTION("""COMPUTED_VALUE"""),44566.66666666667)</f>
        <v>44566.66667</v>
      </c>
      <c r="F198" s="1">
        <f>IFERROR(__xludf.DUMMYFUNCTION("""COMPUTED_VALUE"""),66.75)</f>
        <v>66.75</v>
      </c>
      <c r="G198" s="4">
        <f>IFERROR(__xludf.DUMMYFUNCTION("""COMPUTED_VALUE"""),44566.66666666667)</f>
        <v>44566.66667</v>
      </c>
      <c r="H198" s="1">
        <f>IFERROR(__xludf.DUMMYFUNCTION("""COMPUTED_VALUE"""),122.22)</f>
        <v>122.22</v>
      </c>
      <c r="I198" s="5">
        <f t="shared" si="1"/>
        <v>-0.01669334553</v>
      </c>
      <c r="K198" s="5">
        <f t="shared" si="2"/>
        <v>-0.007901890132</v>
      </c>
      <c r="L198" s="5">
        <f t="shared" si="3"/>
        <v>0.02352059925</v>
      </c>
      <c r="M198" s="5">
        <f t="shared" si="4"/>
        <v>0.008509245623</v>
      </c>
      <c r="Q198" s="5"/>
    </row>
    <row r="199">
      <c r="A199" s="4">
        <f>IFERROR(__xludf.DUMMYFUNCTION("""COMPUTED_VALUE"""),44567.66666666667)</f>
        <v>44567.66667</v>
      </c>
      <c r="B199" s="1">
        <f>IFERROR(__xludf.DUMMYFUNCTION("""COMPUTED_VALUE"""),172.0)</f>
        <v>172</v>
      </c>
      <c r="C199" s="4">
        <f>IFERROR(__xludf.DUMMYFUNCTION("""COMPUTED_VALUE"""),44567.66666666667)</f>
        <v>44567.66667</v>
      </c>
      <c r="D199" s="1">
        <f>IFERROR(__xludf.DUMMYFUNCTION("""COMPUTED_VALUE"""),313.88)</f>
        <v>313.88</v>
      </c>
      <c r="E199" s="4">
        <f>IFERROR(__xludf.DUMMYFUNCTION("""COMPUTED_VALUE"""),44567.66666666667)</f>
        <v>44567.66667</v>
      </c>
      <c r="F199" s="1">
        <f>IFERROR(__xludf.DUMMYFUNCTION("""COMPUTED_VALUE"""),68.32)</f>
        <v>68.32</v>
      </c>
      <c r="G199" s="4">
        <f>IFERROR(__xludf.DUMMYFUNCTION("""COMPUTED_VALUE"""),44567.66666666667)</f>
        <v>44567.66667</v>
      </c>
      <c r="H199" s="1">
        <f>IFERROR(__xludf.DUMMYFUNCTION("""COMPUTED_VALUE"""),123.26)</f>
        <v>123.26</v>
      </c>
      <c r="I199" s="5">
        <f t="shared" si="1"/>
        <v>0.000988372093</v>
      </c>
      <c r="K199" s="5">
        <f t="shared" si="2"/>
        <v>0.0005097489486</v>
      </c>
      <c r="L199" s="5">
        <f t="shared" si="3"/>
        <v>0.008196721311</v>
      </c>
      <c r="M199" s="5">
        <f t="shared" si="4"/>
        <v>0.01435988966</v>
      </c>
      <c r="Q199" s="5"/>
    </row>
    <row r="200">
      <c r="A200" s="4">
        <f>IFERROR(__xludf.DUMMYFUNCTION("""COMPUTED_VALUE"""),44568.66666666667)</f>
        <v>44568.66667</v>
      </c>
      <c r="B200" s="1">
        <f>IFERROR(__xludf.DUMMYFUNCTION("""COMPUTED_VALUE"""),172.17)</f>
        <v>172.17</v>
      </c>
      <c r="C200" s="4">
        <f>IFERROR(__xludf.DUMMYFUNCTION("""COMPUTED_VALUE"""),44568.66666666667)</f>
        <v>44568.66667</v>
      </c>
      <c r="D200" s="1">
        <f>IFERROR(__xludf.DUMMYFUNCTION("""COMPUTED_VALUE"""),314.04)</f>
        <v>314.04</v>
      </c>
      <c r="E200" s="4">
        <f>IFERROR(__xludf.DUMMYFUNCTION("""COMPUTED_VALUE"""),44568.66666666667)</f>
        <v>44568.66667</v>
      </c>
      <c r="F200" s="1">
        <f>IFERROR(__xludf.DUMMYFUNCTION("""COMPUTED_VALUE"""),68.88)</f>
        <v>68.88</v>
      </c>
      <c r="G200" s="4">
        <f>IFERROR(__xludf.DUMMYFUNCTION("""COMPUTED_VALUE"""),44568.66666666667)</f>
        <v>44568.66667</v>
      </c>
      <c r="H200" s="1">
        <f>IFERROR(__xludf.DUMMYFUNCTION("""COMPUTED_VALUE"""),125.03)</f>
        <v>125.03</v>
      </c>
      <c r="I200" s="5">
        <f t="shared" si="1"/>
        <v>0.0001161642563</v>
      </c>
      <c r="K200" s="5">
        <f t="shared" si="2"/>
        <v>0.0007323907782</v>
      </c>
      <c r="L200" s="5">
        <f t="shared" si="3"/>
        <v>-0.005952380952</v>
      </c>
      <c r="M200" s="5">
        <f t="shared" si="4"/>
        <v>0.0006398464369</v>
      </c>
      <c r="Q200" s="5"/>
    </row>
    <row r="201">
      <c r="A201" s="4">
        <f>IFERROR(__xludf.DUMMYFUNCTION("""COMPUTED_VALUE"""),44571.66666666667)</f>
        <v>44571.66667</v>
      </c>
      <c r="B201" s="1">
        <f>IFERROR(__xludf.DUMMYFUNCTION("""COMPUTED_VALUE"""),172.19)</f>
        <v>172.19</v>
      </c>
      <c r="C201" s="4">
        <f>IFERROR(__xludf.DUMMYFUNCTION("""COMPUTED_VALUE"""),44571.66666666667)</f>
        <v>44571.66667</v>
      </c>
      <c r="D201" s="1">
        <f>IFERROR(__xludf.DUMMYFUNCTION("""COMPUTED_VALUE"""),314.27)</f>
        <v>314.27</v>
      </c>
      <c r="E201" s="4">
        <f>IFERROR(__xludf.DUMMYFUNCTION("""COMPUTED_VALUE"""),44571.66666666667)</f>
        <v>44571.66667</v>
      </c>
      <c r="F201" s="1">
        <f>IFERROR(__xludf.DUMMYFUNCTION("""COMPUTED_VALUE"""),68.47)</f>
        <v>68.47</v>
      </c>
      <c r="G201" s="4">
        <f>IFERROR(__xludf.DUMMYFUNCTION("""COMPUTED_VALUE"""),44571.66666666667)</f>
        <v>44571.66667</v>
      </c>
      <c r="H201" s="1">
        <f>IFERROR(__xludf.DUMMYFUNCTION("""COMPUTED_VALUE"""),125.11)</f>
        <v>125.11</v>
      </c>
      <c r="I201" s="5">
        <f t="shared" si="1"/>
        <v>0.01678378535</v>
      </c>
      <c r="K201" s="5">
        <f t="shared" si="2"/>
        <v>0.002259203869</v>
      </c>
      <c r="L201" s="5">
        <f t="shared" si="3"/>
        <v>0.04206221703</v>
      </c>
      <c r="M201" s="5">
        <f t="shared" si="4"/>
        <v>0.0228598833</v>
      </c>
      <c r="Q201" s="5"/>
    </row>
    <row r="202">
      <c r="A202" s="4">
        <f>IFERROR(__xludf.DUMMYFUNCTION("""COMPUTED_VALUE"""),44572.66666666667)</f>
        <v>44572.66667</v>
      </c>
      <c r="B202" s="1">
        <f>IFERROR(__xludf.DUMMYFUNCTION("""COMPUTED_VALUE"""),175.08)</f>
        <v>175.08</v>
      </c>
      <c r="C202" s="4">
        <f>IFERROR(__xludf.DUMMYFUNCTION("""COMPUTED_VALUE"""),44572.66666666667)</f>
        <v>44572.66667</v>
      </c>
      <c r="D202" s="1">
        <f>IFERROR(__xludf.DUMMYFUNCTION("""COMPUTED_VALUE"""),314.98)</f>
        <v>314.98</v>
      </c>
      <c r="E202" s="4">
        <f>IFERROR(__xludf.DUMMYFUNCTION("""COMPUTED_VALUE"""),44572.66666666667)</f>
        <v>44572.66667</v>
      </c>
      <c r="F202" s="1">
        <f>IFERROR(__xludf.DUMMYFUNCTION("""COMPUTED_VALUE"""),71.35)</f>
        <v>71.35</v>
      </c>
      <c r="G202" s="4">
        <f>IFERROR(__xludf.DUMMYFUNCTION("""COMPUTED_VALUE"""),44572.66666666667)</f>
        <v>44572.66667</v>
      </c>
      <c r="H202" s="1">
        <f>IFERROR(__xludf.DUMMYFUNCTION("""COMPUTED_VALUE"""),127.97)</f>
        <v>127.97</v>
      </c>
      <c r="I202" s="5">
        <f t="shared" si="1"/>
        <v>0.002570253598</v>
      </c>
      <c r="K202" s="5">
        <f t="shared" si="2"/>
        <v>0.01044510763</v>
      </c>
      <c r="L202" s="5">
        <f t="shared" si="3"/>
        <v>-0.002943237561</v>
      </c>
      <c r="M202" s="5">
        <f t="shared" si="4"/>
        <v>-0.00500117215</v>
      </c>
      <c r="Q202" s="5"/>
    </row>
    <row r="203">
      <c r="A203" s="4">
        <f>IFERROR(__xludf.DUMMYFUNCTION("""COMPUTED_VALUE"""),44573.66666666667)</f>
        <v>44573.66667</v>
      </c>
      <c r="B203" s="1">
        <f>IFERROR(__xludf.DUMMYFUNCTION("""COMPUTED_VALUE"""),175.53)</f>
        <v>175.53</v>
      </c>
      <c r="C203" s="4">
        <f>IFERROR(__xludf.DUMMYFUNCTION("""COMPUTED_VALUE"""),44573.66666666667)</f>
        <v>44573.66667</v>
      </c>
      <c r="D203" s="1">
        <f>IFERROR(__xludf.DUMMYFUNCTION("""COMPUTED_VALUE"""),318.27)</f>
        <v>318.27</v>
      </c>
      <c r="E203" s="4">
        <f>IFERROR(__xludf.DUMMYFUNCTION("""COMPUTED_VALUE"""),44573.66666666667)</f>
        <v>44573.66667</v>
      </c>
      <c r="F203" s="1">
        <f>IFERROR(__xludf.DUMMYFUNCTION("""COMPUTED_VALUE"""),71.14)</f>
        <v>71.14</v>
      </c>
      <c r="G203" s="4">
        <f>IFERROR(__xludf.DUMMYFUNCTION("""COMPUTED_VALUE"""),44573.66666666667)</f>
        <v>44573.66667</v>
      </c>
      <c r="H203" s="1">
        <f>IFERROR(__xludf.DUMMYFUNCTION("""COMPUTED_VALUE"""),127.33)</f>
        <v>127.33</v>
      </c>
      <c r="I203" s="5">
        <f t="shared" si="1"/>
        <v>-0.01902808637</v>
      </c>
      <c r="K203" s="5">
        <f t="shared" si="2"/>
        <v>-0.04232255632</v>
      </c>
      <c r="L203" s="5">
        <f t="shared" si="3"/>
        <v>-0.007168962609</v>
      </c>
      <c r="M203" s="5">
        <f t="shared" si="4"/>
        <v>-0.004162412629</v>
      </c>
      <c r="Q203" s="5"/>
    </row>
    <row r="204">
      <c r="A204" s="4">
        <f>IFERROR(__xludf.DUMMYFUNCTION("""COMPUTED_VALUE"""),44574.66666666667)</f>
        <v>44574.66667</v>
      </c>
      <c r="B204" s="1">
        <f>IFERROR(__xludf.DUMMYFUNCTION("""COMPUTED_VALUE"""),172.19)</f>
        <v>172.19</v>
      </c>
      <c r="C204" s="4">
        <f>IFERROR(__xludf.DUMMYFUNCTION("""COMPUTED_VALUE"""),44574.66666666667)</f>
        <v>44574.66667</v>
      </c>
      <c r="D204" s="1">
        <f>IFERROR(__xludf.DUMMYFUNCTION("""COMPUTED_VALUE"""),304.8)</f>
        <v>304.8</v>
      </c>
      <c r="E204" s="4">
        <f>IFERROR(__xludf.DUMMYFUNCTION("""COMPUTED_VALUE"""),44574.66666666667)</f>
        <v>44574.66667</v>
      </c>
      <c r="F204" s="1">
        <f>IFERROR(__xludf.DUMMYFUNCTION("""COMPUTED_VALUE"""),70.63)</f>
        <v>70.63</v>
      </c>
      <c r="G204" s="4">
        <f>IFERROR(__xludf.DUMMYFUNCTION("""COMPUTED_VALUE"""),44574.66666666667)</f>
        <v>44574.66667</v>
      </c>
      <c r="H204" s="1">
        <f>IFERROR(__xludf.DUMMYFUNCTION("""COMPUTED_VALUE"""),126.8)</f>
        <v>126.8</v>
      </c>
      <c r="I204" s="5">
        <f t="shared" si="1"/>
        <v>0.005110633602</v>
      </c>
      <c r="K204" s="5">
        <f t="shared" si="2"/>
        <v>0.01771653543</v>
      </c>
      <c r="L204" s="5">
        <f t="shared" si="3"/>
        <v>0.0175562792</v>
      </c>
      <c r="M204" s="5">
        <f t="shared" si="4"/>
        <v>0.01703470032</v>
      </c>
      <c r="Q204" s="5"/>
    </row>
    <row r="205">
      <c r="A205" s="4">
        <f>IFERROR(__xludf.DUMMYFUNCTION("""COMPUTED_VALUE"""),44575.66666666667)</f>
        <v>44575.66667</v>
      </c>
      <c r="B205" s="1">
        <f>IFERROR(__xludf.DUMMYFUNCTION("""COMPUTED_VALUE"""),173.07)</f>
        <v>173.07</v>
      </c>
      <c r="C205" s="4">
        <f>IFERROR(__xludf.DUMMYFUNCTION("""COMPUTED_VALUE"""),44575.66666666667)</f>
        <v>44575.66667</v>
      </c>
      <c r="D205" s="1">
        <f>IFERROR(__xludf.DUMMYFUNCTION("""COMPUTED_VALUE"""),310.2)</f>
        <v>310.2</v>
      </c>
      <c r="E205" s="4">
        <f>IFERROR(__xludf.DUMMYFUNCTION("""COMPUTED_VALUE"""),44575.66666666667)</f>
        <v>44575.66667</v>
      </c>
      <c r="F205" s="1">
        <f>IFERROR(__xludf.DUMMYFUNCTION("""COMPUTED_VALUE"""),71.87)</f>
        <v>71.87</v>
      </c>
      <c r="G205" s="4">
        <f>IFERROR(__xludf.DUMMYFUNCTION("""COMPUTED_VALUE"""),44575.66666666667)</f>
        <v>44575.66667</v>
      </c>
      <c r="H205" s="1">
        <f>IFERROR(__xludf.DUMMYFUNCTION("""COMPUTED_VALUE"""),128.96)</f>
        <v>128.96</v>
      </c>
      <c r="I205" s="5">
        <f t="shared" si="1"/>
        <v>-0.0188940891</v>
      </c>
      <c r="K205" s="5">
        <f t="shared" si="2"/>
        <v>-0.02433913604</v>
      </c>
      <c r="L205" s="5">
        <f t="shared" si="3"/>
        <v>0.01683595381</v>
      </c>
      <c r="M205" s="5">
        <f t="shared" si="4"/>
        <v>0.003256823821</v>
      </c>
      <c r="Q205" s="5"/>
    </row>
    <row r="206">
      <c r="A206" s="4">
        <f>IFERROR(__xludf.DUMMYFUNCTION("""COMPUTED_VALUE"""),44579.66666666667)</f>
        <v>44579.66667</v>
      </c>
      <c r="B206" s="1">
        <f>IFERROR(__xludf.DUMMYFUNCTION("""COMPUTED_VALUE"""),169.8)</f>
        <v>169.8</v>
      </c>
      <c r="C206" s="4">
        <f>IFERROR(__xludf.DUMMYFUNCTION("""COMPUTED_VALUE"""),44579.66666666667)</f>
        <v>44579.66667</v>
      </c>
      <c r="D206" s="1">
        <f>IFERROR(__xludf.DUMMYFUNCTION("""COMPUTED_VALUE"""),302.65)</f>
        <v>302.65</v>
      </c>
      <c r="E206" s="4">
        <f>IFERROR(__xludf.DUMMYFUNCTION("""COMPUTED_VALUE"""),44579.66666666667)</f>
        <v>44579.66667</v>
      </c>
      <c r="F206" s="1">
        <f>IFERROR(__xludf.DUMMYFUNCTION("""COMPUTED_VALUE"""),73.08)</f>
        <v>73.08</v>
      </c>
      <c r="G206" s="4">
        <f>IFERROR(__xludf.DUMMYFUNCTION("""COMPUTED_VALUE"""),44579.66666666667)</f>
        <v>44579.66667</v>
      </c>
      <c r="H206" s="1">
        <f>IFERROR(__xludf.DUMMYFUNCTION("""COMPUTED_VALUE"""),129.38)</f>
        <v>129.38</v>
      </c>
      <c r="I206" s="5">
        <f t="shared" si="1"/>
        <v>-0.02102473498</v>
      </c>
      <c r="K206" s="5">
        <f t="shared" si="2"/>
        <v>0.002246819759</v>
      </c>
      <c r="L206" s="5">
        <f t="shared" si="3"/>
        <v>0.0004105090312</v>
      </c>
      <c r="M206" s="5">
        <f t="shared" si="4"/>
        <v>-0.003632709847</v>
      </c>
      <c r="Q206" s="5"/>
    </row>
    <row r="207">
      <c r="A207" s="4">
        <f>IFERROR(__xludf.DUMMYFUNCTION("""COMPUTED_VALUE"""),44580.66666666667)</f>
        <v>44580.66667</v>
      </c>
      <c r="B207" s="1">
        <f>IFERROR(__xludf.DUMMYFUNCTION("""COMPUTED_VALUE"""),166.23)</f>
        <v>166.23</v>
      </c>
      <c r="C207" s="4">
        <f>IFERROR(__xludf.DUMMYFUNCTION("""COMPUTED_VALUE"""),44580.66666666667)</f>
        <v>44580.66667</v>
      </c>
      <c r="D207" s="1">
        <f>IFERROR(__xludf.DUMMYFUNCTION("""COMPUTED_VALUE"""),303.33)</f>
        <v>303.33</v>
      </c>
      <c r="E207" s="4">
        <f>IFERROR(__xludf.DUMMYFUNCTION("""COMPUTED_VALUE"""),44580.66666666667)</f>
        <v>44580.66667</v>
      </c>
      <c r="F207" s="1">
        <f>IFERROR(__xludf.DUMMYFUNCTION("""COMPUTED_VALUE"""),73.11)</f>
        <v>73.11</v>
      </c>
      <c r="G207" s="4">
        <f>IFERROR(__xludf.DUMMYFUNCTION("""COMPUTED_VALUE"""),44580.66666666667)</f>
        <v>44580.66667</v>
      </c>
      <c r="H207" s="1">
        <f>IFERROR(__xludf.DUMMYFUNCTION("""COMPUTED_VALUE"""),128.91)</f>
        <v>128.91</v>
      </c>
      <c r="I207" s="5">
        <f t="shared" si="1"/>
        <v>-0.01034710943</v>
      </c>
      <c r="K207" s="5">
        <f t="shared" si="2"/>
        <v>-0.005703359378</v>
      </c>
      <c r="L207" s="5">
        <f t="shared" si="3"/>
        <v>0.002188483108</v>
      </c>
      <c r="M207" s="5">
        <f t="shared" si="4"/>
        <v>-0.003568381041</v>
      </c>
      <c r="Q207" s="5"/>
    </row>
    <row r="208">
      <c r="A208" s="4">
        <f>IFERROR(__xludf.DUMMYFUNCTION("""COMPUTED_VALUE"""),44581.66666666667)</f>
        <v>44581.66667</v>
      </c>
      <c r="B208" s="1">
        <f>IFERROR(__xludf.DUMMYFUNCTION("""COMPUTED_VALUE"""),164.51)</f>
        <v>164.51</v>
      </c>
      <c r="C208" s="4">
        <f>IFERROR(__xludf.DUMMYFUNCTION("""COMPUTED_VALUE"""),44581.66666666667)</f>
        <v>44581.66667</v>
      </c>
      <c r="D208" s="1">
        <f>IFERROR(__xludf.DUMMYFUNCTION("""COMPUTED_VALUE"""),301.6)</f>
        <v>301.6</v>
      </c>
      <c r="E208" s="4">
        <f>IFERROR(__xludf.DUMMYFUNCTION("""COMPUTED_VALUE"""),44581.66666666667)</f>
        <v>44581.66667</v>
      </c>
      <c r="F208" s="1">
        <f>IFERROR(__xludf.DUMMYFUNCTION("""COMPUTED_VALUE"""),73.27)</f>
        <v>73.27</v>
      </c>
      <c r="G208" s="4">
        <f>IFERROR(__xludf.DUMMYFUNCTION("""COMPUTED_VALUE"""),44581.66666666667)</f>
        <v>44581.66667</v>
      </c>
      <c r="H208" s="1">
        <f>IFERROR(__xludf.DUMMYFUNCTION("""COMPUTED_VALUE"""),128.45)</f>
        <v>128.45</v>
      </c>
      <c r="I208" s="5">
        <f t="shared" si="1"/>
        <v>-0.01276518145</v>
      </c>
      <c r="K208" s="5">
        <f t="shared" si="2"/>
        <v>-0.01846816976</v>
      </c>
      <c r="L208" s="5">
        <f t="shared" si="3"/>
        <v>-0.01501296574</v>
      </c>
      <c r="M208" s="5">
        <f t="shared" si="4"/>
        <v>-0.01198910082</v>
      </c>
      <c r="Q208" s="5"/>
    </row>
    <row r="209">
      <c r="A209" s="4">
        <f>IFERROR(__xludf.DUMMYFUNCTION("""COMPUTED_VALUE"""),44582.66666666667)</f>
        <v>44582.66667</v>
      </c>
      <c r="B209" s="1">
        <f>IFERROR(__xludf.DUMMYFUNCTION("""COMPUTED_VALUE"""),162.41)</f>
        <v>162.41</v>
      </c>
      <c r="C209" s="4">
        <f>IFERROR(__xludf.DUMMYFUNCTION("""COMPUTED_VALUE"""),44582.66666666667)</f>
        <v>44582.66667</v>
      </c>
      <c r="D209" s="1">
        <f>IFERROR(__xludf.DUMMYFUNCTION("""COMPUTED_VALUE"""),296.03)</f>
        <v>296.03</v>
      </c>
      <c r="E209" s="4">
        <f>IFERROR(__xludf.DUMMYFUNCTION("""COMPUTED_VALUE"""),44582.66666666667)</f>
        <v>44582.66667</v>
      </c>
      <c r="F209" s="1">
        <f>IFERROR(__xludf.DUMMYFUNCTION("""COMPUTED_VALUE"""),72.17)</f>
        <v>72.17</v>
      </c>
      <c r="G209" s="4">
        <f>IFERROR(__xludf.DUMMYFUNCTION("""COMPUTED_VALUE"""),44582.66666666667)</f>
        <v>44582.66667</v>
      </c>
      <c r="H209" s="1">
        <f>IFERROR(__xludf.DUMMYFUNCTION("""COMPUTED_VALUE"""),126.91)</f>
        <v>126.91</v>
      </c>
      <c r="I209" s="5">
        <f t="shared" si="1"/>
        <v>-0.004864232498</v>
      </c>
      <c r="K209" s="5">
        <f t="shared" si="2"/>
        <v>0.001148532243</v>
      </c>
      <c r="L209" s="5">
        <f t="shared" si="3"/>
        <v>0.008590827214</v>
      </c>
      <c r="M209" s="5">
        <f t="shared" si="4"/>
        <v>0.002127491923</v>
      </c>
      <c r="Q209" s="5"/>
    </row>
    <row r="210">
      <c r="A210" s="4">
        <f>IFERROR(__xludf.DUMMYFUNCTION("""COMPUTED_VALUE"""),44585.66666666667)</f>
        <v>44585.66667</v>
      </c>
      <c r="B210" s="1">
        <f>IFERROR(__xludf.DUMMYFUNCTION("""COMPUTED_VALUE"""),161.62)</f>
        <v>161.62</v>
      </c>
      <c r="C210" s="4">
        <f>IFERROR(__xludf.DUMMYFUNCTION("""COMPUTED_VALUE"""),44585.66666666667)</f>
        <v>44585.66667</v>
      </c>
      <c r="D210" s="1">
        <f>IFERROR(__xludf.DUMMYFUNCTION("""COMPUTED_VALUE"""),296.37)</f>
        <v>296.37</v>
      </c>
      <c r="E210" s="4">
        <f>IFERROR(__xludf.DUMMYFUNCTION("""COMPUTED_VALUE"""),44585.66666666667)</f>
        <v>44585.66667</v>
      </c>
      <c r="F210" s="1">
        <f>IFERROR(__xludf.DUMMYFUNCTION("""COMPUTED_VALUE"""),72.79)</f>
        <v>72.79</v>
      </c>
      <c r="G210" s="4">
        <f>IFERROR(__xludf.DUMMYFUNCTION("""COMPUTED_VALUE"""),44585.66666666667)</f>
        <v>44585.66667</v>
      </c>
      <c r="H210" s="1">
        <f>IFERROR(__xludf.DUMMYFUNCTION("""COMPUTED_VALUE"""),127.18)</f>
        <v>127.18</v>
      </c>
      <c r="I210" s="5">
        <f t="shared" si="1"/>
        <v>-0.01138472961</v>
      </c>
      <c r="K210" s="5">
        <f t="shared" si="2"/>
        <v>-0.02658838614</v>
      </c>
      <c r="L210" s="5">
        <f t="shared" si="3"/>
        <v>0.02939964281</v>
      </c>
      <c r="M210" s="5">
        <f t="shared" si="4"/>
        <v>0.04253813493</v>
      </c>
      <c r="Q210" s="5"/>
    </row>
    <row r="211">
      <c r="A211" s="4">
        <f>IFERROR(__xludf.DUMMYFUNCTION("""COMPUTED_VALUE"""),44586.66666666667)</f>
        <v>44586.66667</v>
      </c>
      <c r="B211" s="1">
        <f>IFERROR(__xludf.DUMMYFUNCTION("""COMPUTED_VALUE"""),159.78)</f>
        <v>159.78</v>
      </c>
      <c r="C211" s="4">
        <f>IFERROR(__xludf.DUMMYFUNCTION("""COMPUTED_VALUE"""),44586.66666666667)</f>
        <v>44586.66667</v>
      </c>
      <c r="D211" s="1">
        <f>IFERROR(__xludf.DUMMYFUNCTION("""COMPUTED_VALUE"""),288.49)</f>
        <v>288.49</v>
      </c>
      <c r="E211" s="4">
        <f>IFERROR(__xludf.DUMMYFUNCTION("""COMPUTED_VALUE"""),44586.66666666667)</f>
        <v>44586.66667</v>
      </c>
      <c r="F211" s="1">
        <f>IFERROR(__xludf.DUMMYFUNCTION("""COMPUTED_VALUE"""),74.93)</f>
        <v>74.93</v>
      </c>
      <c r="G211" s="4">
        <f>IFERROR(__xludf.DUMMYFUNCTION("""COMPUTED_VALUE"""),44586.66666666667)</f>
        <v>44586.66667</v>
      </c>
      <c r="H211" s="1">
        <f>IFERROR(__xludf.DUMMYFUNCTION("""COMPUTED_VALUE"""),132.59)</f>
        <v>132.59</v>
      </c>
      <c r="I211" s="5">
        <f t="shared" si="1"/>
        <v>-0.0005632745024</v>
      </c>
      <c r="K211" s="5">
        <f t="shared" si="2"/>
        <v>0.02849318867</v>
      </c>
      <c r="L211" s="5">
        <f t="shared" si="3"/>
        <v>-0.01014279995</v>
      </c>
      <c r="M211" s="5">
        <f t="shared" si="4"/>
        <v>0.0007542046912</v>
      </c>
      <c r="Q211" s="5"/>
    </row>
    <row r="212">
      <c r="A212" s="4">
        <f>IFERROR(__xludf.DUMMYFUNCTION("""COMPUTED_VALUE"""),44587.66666666667)</f>
        <v>44587.66667</v>
      </c>
      <c r="B212" s="1">
        <f>IFERROR(__xludf.DUMMYFUNCTION("""COMPUTED_VALUE"""),159.69)</f>
        <v>159.69</v>
      </c>
      <c r="C212" s="4">
        <f>IFERROR(__xludf.DUMMYFUNCTION("""COMPUTED_VALUE"""),44587.66666666667)</f>
        <v>44587.66667</v>
      </c>
      <c r="D212" s="1">
        <f>IFERROR(__xludf.DUMMYFUNCTION("""COMPUTED_VALUE"""),296.71)</f>
        <v>296.71</v>
      </c>
      <c r="E212" s="4">
        <f>IFERROR(__xludf.DUMMYFUNCTION("""COMPUTED_VALUE"""),44587.66666666667)</f>
        <v>44587.66667</v>
      </c>
      <c r="F212" s="1">
        <f>IFERROR(__xludf.DUMMYFUNCTION("""COMPUTED_VALUE"""),74.17)</f>
        <v>74.17</v>
      </c>
      <c r="G212" s="4">
        <f>IFERROR(__xludf.DUMMYFUNCTION("""COMPUTED_VALUE"""),44587.66666666667)</f>
        <v>44587.66667</v>
      </c>
      <c r="H212" s="1">
        <f>IFERROR(__xludf.DUMMYFUNCTION("""COMPUTED_VALUE"""),132.69)</f>
        <v>132.69</v>
      </c>
      <c r="I212" s="5">
        <f t="shared" si="1"/>
        <v>-0.002943202455</v>
      </c>
      <c r="K212" s="5">
        <f t="shared" si="2"/>
        <v>0.01054902093</v>
      </c>
      <c r="L212" s="5">
        <f t="shared" si="3"/>
        <v>0.01280841311</v>
      </c>
      <c r="M212" s="5">
        <f t="shared" si="4"/>
        <v>0.02019745271</v>
      </c>
      <c r="Q212" s="5"/>
    </row>
    <row r="213">
      <c r="A213" s="4">
        <f>IFERROR(__xludf.DUMMYFUNCTION("""COMPUTED_VALUE"""),44588.66666666667)</f>
        <v>44588.66667</v>
      </c>
      <c r="B213" s="1">
        <f>IFERROR(__xludf.DUMMYFUNCTION("""COMPUTED_VALUE"""),159.22)</f>
        <v>159.22</v>
      </c>
      <c r="C213" s="4">
        <f>IFERROR(__xludf.DUMMYFUNCTION("""COMPUTED_VALUE"""),44588.66666666667)</f>
        <v>44588.66667</v>
      </c>
      <c r="D213" s="1">
        <f>IFERROR(__xludf.DUMMYFUNCTION("""COMPUTED_VALUE"""),299.84)</f>
        <v>299.84</v>
      </c>
      <c r="E213" s="4">
        <f>IFERROR(__xludf.DUMMYFUNCTION("""COMPUTED_VALUE"""),44588.66666666667)</f>
        <v>44588.66667</v>
      </c>
      <c r="F213" s="1">
        <f>IFERROR(__xludf.DUMMYFUNCTION("""COMPUTED_VALUE"""),75.12)</f>
        <v>75.12</v>
      </c>
      <c r="G213" s="4">
        <f>IFERROR(__xludf.DUMMYFUNCTION("""COMPUTED_VALUE"""),44588.66666666667)</f>
        <v>44588.66667</v>
      </c>
      <c r="H213" s="1">
        <f>IFERROR(__xludf.DUMMYFUNCTION("""COMPUTED_VALUE"""),135.37)</f>
        <v>135.37</v>
      </c>
      <c r="I213" s="5">
        <f t="shared" si="1"/>
        <v>0.06977766612</v>
      </c>
      <c r="K213" s="5">
        <f t="shared" si="2"/>
        <v>0.02808164354</v>
      </c>
      <c r="L213" s="5">
        <f t="shared" si="3"/>
        <v>0.002129925453</v>
      </c>
      <c r="M213" s="5">
        <f t="shared" si="4"/>
        <v>-0.0351628869</v>
      </c>
      <c r="Q213" s="5"/>
    </row>
    <row r="214">
      <c r="A214" s="4">
        <f>IFERROR(__xludf.DUMMYFUNCTION("""COMPUTED_VALUE"""),44589.66666666667)</f>
        <v>44589.66667</v>
      </c>
      <c r="B214" s="1">
        <f>IFERROR(__xludf.DUMMYFUNCTION("""COMPUTED_VALUE"""),170.33)</f>
        <v>170.33</v>
      </c>
      <c r="C214" s="4">
        <f>IFERROR(__xludf.DUMMYFUNCTION("""COMPUTED_VALUE"""),44589.66666666667)</f>
        <v>44589.66667</v>
      </c>
      <c r="D214" s="1">
        <f>IFERROR(__xludf.DUMMYFUNCTION("""COMPUTED_VALUE"""),308.26)</f>
        <v>308.26</v>
      </c>
      <c r="E214" s="4">
        <f>IFERROR(__xludf.DUMMYFUNCTION("""COMPUTED_VALUE"""),44589.66666666667)</f>
        <v>44589.66667</v>
      </c>
      <c r="F214" s="1">
        <f>IFERROR(__xludf.DUMMYFUNCTION("""COMPUTED_VALUE"""),75.28)</f>
        <v>75.28</v>
      </c>
      <c r="G214" s="4">
        <f>IFERROR(__xludf.DUMMYFUNCTION("""COMPUTED_VALUE"""),44589.66666666667)</f>
        <v>44589.66667</v>
      </c>
      <c r="H214" s="1">
        <f>IFERROR(__xludf.DUMMYFUNCTION("""COMPUTED_VALUE"""),130.61)</f>
        <v>130.61</v>
      </c>
      <c r="I214" s="5">
        <f t="shared" si="1"/>
        <v>0.02612575589</v>
      </c>
      <c r="K214" s="5">
        <f t="shared" si="2"/>
        <v>0.008823720236</v>
      </c>
      <c r="L214" s="5">
        <f t="shared" si="3"/>
        <v>0.009032943677</v>
      </c>
      <c r="M214" s="5">
        <f t="shared" si="4"/>
        <v>0.005512594748</v>
      </c>
      <c r="Q214" s="5"/>
    </row>
    <row r="215">
      <c r="A215" s="4">
        <f>IFERROR(__xludf.DUMMYFUNCTION("""COMPUTED_VALUE"""),44592.66666666667)</f>
        <v>44592.66667</v>
      </c>
      <c r="B215" s="1">
        <f>IFERROR(__xludf.DUMMYFUNCTION("""COMPUTED_VALUE"""),174.78)</f>
        <v>174.78</v>
      </c>
      <c r="C215" s="4">
        <f>IFERROR(__xludf.DUMMYFUNCTION("""COMPUTED_VALUE"""),44592.66666666667)</f>
        <v>44592.66667</v>
      </c>
      <c r="D215" s="1">
        <f>IFERROR(__xludf.DUMMYFUNCTION("""COMPUTED_VALUE"""),310.98)</f>
        <v>310.98</v>
      </c>
      <c r="E215" s="4">
        <f>IFERROR(__xludf.DUMMYFUNCTION("""COMPUTED_VALUE"""),44592.66666666667)</f>
        <v>44592.66667</v>
      </c>
      <c r="F215" s="1">
        <f>IFERROR(__xludf.DUMMYFUNCTION("""COMPUTED_VALUE"""),75.96)</f>
        <v>75.96</v>
      </c>
      <c r="G215" s="4">
        <f>IFERROR(__xludf.DUMMYFUNCTION("""COMPUTED_VALUE"""),44592.66666666667)</f>
        <v>44592.66667</v>
      </c>
      <c r="H215" s="1">
        <f>IFERROR(__xludf.DUMMYFUNCTION("""COMPUTED_VALUE"""),131.33)</f>
        <v>131.33</v>
      </c>
      <c r="I215" s="5">
        <f t="shared" si="1"/>
        <v>-0.0009726513331</v>
      </c>
      <c r="K215" s="5">
        <f t="shared" si="2"/>
        <v>-0.007138722747</v>
      </c>
      <c r="L215" s="5">
        <f t="shared" si="3"/>
        <v>0.06411269089</v>
      </c>
      <c r="M215" s="5">
        <f t="shared" si="4"/>
        <v>0.02634584634</v>
      </c>
      <c r="Q215" s="5"/>
    </row>
    <row r="216">
      <c r="A216" s="4">
        <f>IFERROR(__xludf.DUMMYFUNCTION("""COMPUTED_VALUE"""),44593.66666666667)</f>
        <v>44593.66667</v>
      </c>
      <c r="B216" s="1">
        <f>IFERROR(__xludf.DUMMYFUNCTION("""COMPUTED_VALUE"""),174.61)</f>
        <v>174.61</v>
      </c>
      <c r="C216" s="4">
        <f>IFERROR(__xludf.DUMMYFUNCTION("""COMPUTED_VALUE"""),44593.66666666667)</f>
        <v>44593.66667</v>
      </c>
      <c r="D216" s="1">
        <f>IFERROR(__xludf.DUMMYFUNCTION("""COMPUTED_VALUE"""),308.76)</f>
        <v>308.76</v>
      </c>
      <c r="E216" s="4">
        <f>IFERROR(__xludf.DUMMYFUNCTION("""COMPUTED_VALUE"""),44593.66666666667)</f>
        <v>44593.66667</v>
      </c>
      <c r="F216" s="1">
        <f>IFERROR(__xludf.DUMMYFUNCTION("""COMPUTED_VALUE"""),80.83)</f>
        <v>80.83</v>
      </c>
      <c r="G216" s="4">
        <f>IFERROR(__xludf.DUMMYFUNCTION("""COMPUTED_VALUE"""),44593.66666666667)</f>
        <v>44593.66667</v>
      </c>
      <c r="H216" s="1">
        <f>IFERROR(__xludf.DUMMYFUNCTION("""COMPUTED_VALUE"""),134.79)</f>
        <v>134.79</v>
      </c>
      <c r="I216" s="5">
        <f t="shared" si="1"/>
        <v>0.007044270088</v>
      </c>
      <c r="K216" s="5">
        <f t="shared" si="2"/>
        <v>0.01522217904</v>
      </c>
      <c r="L216" s="5">
        <f t="shared" si="3"/>
        <v>-0.00259804528</v>
      </c>
      <c r="M216" s="5">
        <f t="shared" si="4"/>
        <v>0.004599747756</v>
      </c>
      <c r="Q216" s="5"/>
    </row>
    <row r="217">
      <c r="A217" s="4">
        <f>IFERROR(__xludf.DUMMYFUNCTION("""COMPUTED_VALUE"""),44594.66666666667)</f>
        <v>44594.66667</v>
      </c>
      <c r="B217" s="1">
        <f>IFERROR(__xludf.DUMMYFUNCTION("""COMPUTED_VALUE"""),175.84)</f>
        <v>175.84</v>
      </c>
      <c r="C217" s="4">
        <f>IFERROR(__xludf.DUMMYFUNCTION("""COMPUTED_VALUE"""),44594.66666666667)</f>
        <v>44594.66667</v>
      </c>
      <c r="D217" s="1">
        <f>IFERROR(__xludf.DUMMYFUNCTION("""COMPUTED_VALUE"""),313.46)</f>
        <v>313.46</v>
      </c>
      <c r="E217" s="4">
        <f>IFERROR(__xludf.DUMMYFUNCTION("""COMPUTED_VALUE"""),44594.66666666667)</f>
        <v>44594.66667</v>
      </c>
      <c r="F217" s="1">
        <f>IFERROR(__xludf.DUMMYFUNCTION("""COMPUTED_VALUE"""),80.62)</f>
        <v>80.62</v>
      </c>
      <c r="G217" s="4">
        <f>IFERROR(__xludf.DUMMYFUNCTION("""COMPUTED_VALUE"""),44594.66666666667)</f>
        <v>44594.66667</v>
      </c>
      <c r="H217" s="1">
        <f>IFERROR(__xludf.DUMMYFUNCTION("""COMPUTED_VALUE"""),135.41)</f>
        <v>135.41</v>
      </c>
      <c r="I217" s="5">
        <f t="shared" si="1"/>
        <v>-0.01671974522</v>
      </c>
      <c r="K217" s="5">
        <f t="shared" si="2"/>
        <v>-0.03895233842</v>
      </c>
      <c r="L217" s="5">
        <f t="shared" si="3"/>
        <v>-0.01165963781</v>
      </c>
      <c r="M217" s="5">
        <f t="shared" si="4"/>
        <v>-0.008935824533</v>
      </c>
      <c r="Q217" s="5"/>
    </row>
    <row r="218">
      <c r="A218" s="4">
        <f>IFERROR(__xludf.DUMMYFUNCTION("""COMPUTED_VALUE"""),44595.66666666667)</f>
        <v>44595.66667</v>
      </c>
      <c r="B218" s="1">
        <f>IFERROR(__xludf.DUMMYFUNCTION("""COMPUTED_VALUE"""),172.9)</f>
        <v>172.9</v>
      </c>
      <c r="C218" s="4">
        <f>IFERROR(__xludf.DUMMYFUNCTION("""COMPUTED_VALUE"""),44595.66666666667)</f>
        <v>44595.66667</v>
      </c>
      <c r="D218" s="1">
        <f>IFERROR(__xludf.DUMMYFUNCTION("""COMPUTED_VALUE"""),301.25)</f>
        <v>301.25</v>
      </c>
      <c r="E218" s="4">
        <f>IFERROR(__xludf.DUMMYFUNCTION("""COMPUTED_VALUE"""),44595.66666666667)</f>
        <v>44595.66667</v>
      </c>
      <c r="F218" s="1">
        <f>IFERROR(__xludf.DUMMYFUNCTION("""COMPUTED_VALUE"""),79.68)</f>
        <v>79.68</v>
      </c>
      <c r="G218" s="4">
        <f>IFERROR(__xludf.DUMMYFUNCTION("""COMPUTED_VALUE"""),44595.66666666667)</f>
        <v>44595.66667</v>
      </c>
      <c r="H218" s="1">
        <f>IFERROR(__xludf.DUMMYFUNCTION("""COMPUTED_VALUE"""),134.2)</f>
        <v>134.2</v>
      </c>
      <c r="I218" s="5">
        <f t="shared" si="1"/>
        <v>-0.002949681897</v>
      </c>
      <c r="K218" s="5">
        <f t="shared" si="2"/>
        <v>0.01556846473</v>
      </c>
      <c r="L218" s="5">
        <f t="shared" si="3"/>
        <v>0.02171184739</v>
      </c>
      <c r="M218" s="5">
        <f t="shared" si="4"/>
        <v>0.01251862891</v>
      </c>
      <c r="Q218" s="5"/>
    </row>
    <row r="219">
      <c r="A219" s="4">
        <f>IFERROR(__xludf.DUMMYFUNCTION("""COMPUTED_VALUE"""),44596.66666666667)</f>
        <v>44596.66667</v>
      </c>
      <c r="B219" s="1">
        <f>IFERROR(__xludf.DUMMYFUNCTION("""COMPUTED_VALUE"""),172.39)</f>
        <v>172.39</v>
      </c>
      <c r="C219" s="4">
        <f>IFERROR(__xludf.DUMMYFUNCTION("""COMPUTED_VALUE"""),44596.66666666667)</f>
        <v>44596.66667</v>
      </c>
      <c r="D219" s="1">
        <f>IFERROR(__xludf.DUMMYFUNCTION("""COMPUTED_VALUE"""),305.94)</f>
        <v>305.94</v>
      </c>
      <c r="E219" s="4">
        <f>IFERROR(__xludf.DUMMYFUNCTION("""COMPUTED_VALUE"""),44596.66666666667)</f>
        <v>44596.66667</v>
      </c>
      <c r="F219" s="1">
        <f>IFERROR(__xludf.DUMMYFUNCTION("""COMPUTED_VALUE"""),81.41)</f>
        <v>81.41</v>
      </c>
      <c r="G219" s="4">
        <f>IFERROR(__xludf.DUMMYFUNCTION("""COMPUTED_VALUE"""),44596.66666666667)</f>
        <v>44596.66667</v>
      </c>
      <c r="H219" s="1">
        <f>IFERROR(__xludf.DUMMYFUNCTION("""COMPUTED_VALUE"""),135.88)</f>
        <v>135.88</v>
      </c>
      <c r="I219" s="5">
        <f t="shared" si="1"/>
        <v>-0.004234584373</v>
      </c>
      <c r="K219" s="5">
        <f t="shared" si="2"/>
        <v>-0.01631038766</v>
      </c>
      <c r="L219" s="5">
        <f t="shared" si="3"/>
        <v>0.01203783319</v>
      </c>
      <c r="M219" s="5">
        <f t="shared" si="4"/>
        <v>0.0196496909</v>
      </c>
      <c r="Q219" s="5"/>
    </row>
    <row r="220">
      <c r="A220" s="4">
        <f>IFERROR(__xludf.DUMMYFUNCTION("""COMPUTED_VALUE"""),44599.66666666667)</f>
        <v>44599.66667</v>
      </c>
      <c r="B220" s="1">
        <f>IFERROR(__xludf.DUMMYFUNCTION("""COMPUTED_VALUE"""),171.66)</f>
        <v>171.66</v>
      </c>
      <c r="C220" s="4">
        <f>IFERROR(__xludf.DUMMYFUNCTION("""COMPUTED_VALUE"""),44599.66666666667)</f>
        <v>44599.66667</v>
      </c>
      <c r="D220" s="1">
        <f>IFERROR(__xludf.DUMMYFUNCTION("""COMPUTED_VALUE"""),300.95)</f>
        <v>300.95</v>
      </c>
      <c r="E220" s="4">
        <f>IFERROR(__xludf.DUMMYFUNCTION("""COMPUTED_VALUE"""),44599.66666666667)</f>
        <v>44599.66667</v>
      </c>
      <c r="F220" s="1">
        <f>IFERROR(__xludf.DUMMYFUNCTION("""COMPUTED_VALUE"""),82.39)</f>
        <v>82.39</v>
      </c>
      <c r="G220" s="4">
        <f>IFERROR(__xludf.DUMMYFUNCTION("""COMPUTED_VALUE"""),44599.66666666667)</f>
        <v>44599.66667</v>
      </c>
      <c r="H220" s="1">
        <f>IFERROR(__xludf.DUMMYFUNCTION("""COMPUTED_VALUE"""),138.55)</f>
        <v>138.55</v>
      </c>
      <c r="I220" s="5">
        <f t="shared" si="1"/>
        <v>0.01846673657</v>
      </c>
      <c r="K220" s="5">
        <f t="shared" si="2"/>
        <v>0.01199534806</v>
      </c>
      <c r="L220" s="5">
        <f t="shared" si="3"/>
        <v>-0.02585265202</v>
      </c>
      <c r="M220" s="5">
        <f t="shared" si="4"/>
        <v>-0.01522915915</v>
      </c>
      <c r="Q220" s="5"/>
    </row>
    <row r="221">
      <c r="A221" s="4">
        <f>IFERROR(__xludf.DUMMYFUNCTION("""COMPUTED_VALUE"""),44600.66666666667)</f>
        <v>44600.66667</v>
      </c>
      <c r="B221" s="1">
        <f>IFERROR(__xludf.DUMMYFUNCTION("""COMPUTED_VALUE"""),174.83)</f>
        <v>174.83</v>
      </c>
      <c r="C221" s="4">
        <f>IFERROR(__xludf.DUMMYFUNCTION("""COMPUTED_VALUE"""),44600.66666666667)</f>
        <v>44600.66667</v>
      </c>
      <c r="D221" s="1">
        <f>IFERROR(__xludf.DUMMYFUNCTION("""COMPUTED_VALUE"""),304.56)</f>
        <v>304.56</v>
      </c>
      <c r="E221" s="4">
        <f>IFERROR(__xludf.DUMMYFUNCTION("""COMPUTED_VALUE"""),44600.66666666667)</f>
        <v>44600.66667</v>
      </c>
      <c r="F221" s="1">
        <f>IFERROR(__xludf.DUMMYFUNCTION("""COMPUTED_VALUE"""),80.26)</f>
        <v>80.26</v>
      </c>
      <c r="G221" s="4">
        <f>IFERROR(__xludf.DUMMYFUNCTION("""COMPUTED_VALUE"""),44600.66666666667)</f>
        <v>44600.66667</v>
      </c>
      <c r="H221" s="1">
        <f>IFERROR(__xludf.DUMMYFUNCTION("""COMPUTED_VALUE"""),136.44)</f>
        <v>136.44</v>
      </c>
      <c r="I221" s="5">
        <f t="shared" si="1"/>
        <v>0.008293771092</v>
      </c>
      <c r="K221" s="5">
        <f t="shared" si="2"/>
        <v>0.02183477804</v>
      </c>
      <c r="L221" s="5">
        <f t="shared" si="3"/>
        <v>-0.01569897832</v>
      </c>
      <c r="M221" s="5">
        <f t="shared" si="4"/>
        <v>0.009894459103</v>
      </c>
      <c r="Q221" s="5"/>
    </row>
    <row r="222">
      <c r="A222" s="4">
        <f>IFERROR(__xludf.DUMMYFUNCTION("""COMPUTED_VALUE"""),44601.66666666667)</f>
        <v>44601.66667</v>
      </c>
      <c r="B222" s="1">
        <f>IFERROR(__xludf.DUMMYFUNCTION("""COMPUTED_VALUE"""),176.28)</f>
        <v>176.28</v>
      </c>
      <c r="C222" s="4">
        <f>IFERROR(__xludf.DUMMYFUNCTION("""COMPUTED_VALUE"""),44601.66666666667)</f>
        <v>44601.66667</v>
      </c>
      <c r="D222" s="1">
        <f>IFERROR(__xludf.DUMMYFUNCTION("""COMPUTED_VALUE"""),311.21)</f>
        <v>311.21</v>
      </c>
      <c r="E222" s="4">
        <f>IFERROR(__xludf.DUMMYFUNCTION("""COMPUTED_VALUE"""),44601.66666666667)</f>
        <v>44601.66667</v>
      </c>
      <c r="F222" s="1">
        <f>IFERROR(__xludf.DUMMYFUNCTION("""COMPUTED_VALUE"""),79.0)</f>
        <v>79</v>
      </c>
      <c r="G222" s="4">
        <f>IFERROR(__xludf.DUMMYFUNCTION("""COMPUTED_VALUE"""),44601.66666666667)</f>
        <v>44601.66667</v>
      </c>
      <c r="H222" s="1">
        <f>IFERROR(__xludf.DUMMYFUNCTION("""COMPUTED_VALUE"""),137.79)</f>
        <v>137.79</v>
      </c>
      <c r="I222" s="5">
        <f t="shared" si="1"/>
        <v>-0.02359882006</v>
      </c>
      <c r="K222" s="5">
        <f t="shared" si="2"/>
        <v>-0.02837312426</v>
      </c>
      <c r="L222" s="5">
        <f t="shared" si="3"/>
        <v>-0.009620253165</v>
      </c>
      <c r="M222" s="5">
        <f t="shared" si="4"/>
        <v>-0.01270048625</v>
      </c>
      <c r="Q222" s="5"/>
    </row>
    <row r="223">
      <c r="A223" s="4">
        <f>IFERROR(__xludf.DUMMYFUNCTION("""COMPUTED_VALUE"""),44602.66666666667)</f>
        <v>44602.66667</v>
      </c>
      <c r="B223" s="1">
        <f>IFERROR(__xludf.DUMMYFUNCTION("""COMPUTED_VALUE"""),172.12)</f>
        <v>172.12</v>
      </c>
      <c r="C223" s="4">
        <f>IFERROR(__xludf.DUMMYFUNCTION("""COMPUTED_VALUE"""),44602.66666666667)</f>
        <v>44602.66667</v>
      </c>
      <c r="D223" s="1">
        <f>IFERROR(__xludf.DUMMYFUNCTION("""COMPUTED_VALUE"""),302.38)</f>
        <v>302.38</v>
      </c>
      <c r="E223" s="4">
        <f>IFERROR(__xludf.DUMMYFUNCTION("""COMPUTED_VALUE"""),44602.66666666667)</f>
        <v>44602.66667</v>
      </c>
      <c r="F223" s="1">
        <f>IFERROR(__xludf.DUMMYFUNCTION("""COMPUTED_VALUE"""),78.24)</f>
        <v>78.24</v>
      </c>
      <c r="G223" s="4">
        <f>IFERROR(__xludf.DUMMYFUNCTION("""COMPUTED_VALUE"""),44602.66666666667)</f>
        <v>44602.66667</v>
      </c>
      <c r="H223" s="1">
        <f>IFERROR(__xludf.DUMMYFUNCTION("""COMPUTED_VALUE"""),136.04)</f>
        <v>136.04</v>
      </c>
      <c r="I223" s="5">
        <f t="shared" si="1"/>
        <v>-0.02021845224</v>
      </c>
      <c r="K223" s="5">
        <f t="shared" si="2"/>
        <v>-0.0242740922</v>
      </c>
      <c r="L223" s="5">
        <f t="shared" si="3"/>
        <v>0.02517893661</v>
      </c>
      <c r="M223" s="5">
        <f t="shared" si="4"/>
        <v>0.02036165834</v>
      </c>
      <c r="Q223" s="5"/>
    </row>
    <row r="224">
      <c r="A224" s="4">
        <f>IFERROR(__xludf.DUMMYFUNCTION("""COMPUTED_VALUE"""),44603.66666666667)</f>
        <v>44603.66667</v>
      </c>
      <c r="B224" s="1">
        <f>IFERROR(__xludf.DUMMYFUNCTION("""COMPUTED_VALUE"""),168.64)</f>
        <v>168.64</v>
      </c>
      <c r="C224" s="4">
        <f>IFERROR(__xludf.DUMMYFUNCTION("""COMPUTED_VALUE"""),44603.66666666667)</f>
        <v>44603.66667</v>
      </c>
      <c r="D224" s="1">
        <f>IFERROR(__xludf.DUMMYFUNCTION("""COMPUTED_VALUE"""),295.04)</f>
        <v>295.04</v>
      </c>
      <c r="E224" s="4">
        <f>IFERROR(__xludf.DUMMYFUNCTION("""COMPUTED_VALUE"""),44603.66666666667)</f>
        <v>44603.66667</v>
      </c>
      <c r="F224" s="1">
        <f>IFERROR(__xludf.DUMMYFUNCTION("""COMPUTED_VALUE"""),80.21)</f>
        <v>80.21</v>
      </c>
      <c r="G224" s="4">
        <f>IFERROR(__xludf.DUMMYFUNCTION("""COMPUTED_VALUE"""),44603.66666666667)</f>
        <v>44603.66667</v>
      </c>
      <c r="H224" s="1">
        <f>IFERROR(__xludf.DUMMYFUNCTION("""COMPUTED_VALUE"""),138.81)</f>
        <v>138.81</v>
      </c>
      <c r="I224" s="5">
        <f t="shared" si="1"/>
        <v>0.001423149905</v>
      </c>
      <c r="K224" s="5">
        <f t="shared" si="2"/>
        <v>-0.0001355748373</v>
      </c>
      <c r="L224" s="5">
        <f t="shared" si="3"/>
        <v>-0.01533474629</v>
      </c>
      <c r="M224" s="5">
        <f t="shared" si="4"/>
        <v>-0.01541675672</v>
      </c>
      <c r="Q224" s="5"/>
    </row>
    <row r="225">
      <c r="A225" s="4">
        <f>IFERROR(__xludf.DUMMYFUNCTION("""COMPUTED_VALUE"""),44606.66666666667)</f>
        <v>44606.66667</v>
      </c>
      <c r="B225" s="1">
        <f>IFERROR(__xludf.DUMMYFUNCTION("""COMPUTED_VALUE"""),168.88)</f>
        <v>168.88</v>
      </c>
      <c r="C225" s="4">
        <f>IFERROR(__xludf.DUMMYFUNCTION("""COMPUTED_VALUE"""),44606.66666666667)</f>
        <v>44606.66667</v>
      </c>
      <c r="D225" s="1">
        <f>IFERROR(__xludf.DUMMYFUNCTION("""COMPUTED_VALUE"""),295.0)</f>
        <v>295</v>
      </c>
      <c r="E225" s="4">
        <f>IFERROR(__xludf.DUMMYFUNCTION("""COMPUTED_VALUE"""),44606.66666666667)</f>
        <v>44606.66667</v>
      </c>
      <c r="F225" s="1">
        <f>IFERROR(__xludf.DUMMYFUNCTION("""COMPUTED_VALUE"""),78.98)</f>
        <v>78.98</v>
      </c>
      <c r="G225" s="4">
        <f>IFERROR(__xludf.DUMMYFUNCTION("""COMPUTED_VALUE"""),44606.66666666667)</f>
        <v>44606.66667</v>
      </c>
      <c r="H225" s="1">
        <f>IFERROR(__xludf.DUMMYFUNCTION("""COMPUTED_VALUE"""),136.67)</f>
        <v>136.67</v>
      </c>
      <c r="I225" s="5">
        <f t="shared" si="1"/>
        <v>0.02315253434</v>
      </c>
      <c r="K225" s="5">
        <f t="shared" si="2"/>
        <v>0.01854237288</v>
      </c>
      <c r="L225" s="5">
        <f t="shared" si="3"/>
        <v>-0.01253481894</v>
      </c>
      <c r="M225" s="5">
        <f t="shared" si="4"/>
        <v>-0.01763371625</v>
      </c>
      <c r="Q225" s="5"/>
    </row>
    <row r="226">
      <c r="A226" s="4">
        <f>IFERROR(__xludf.DUMMYFUNCTION("""COMPUTED_VALUE"""),44607.66666666667)</f>
        <v>44607.66667</v>
      </c>
      <c r="B226" s="1">
        <f>IFERROR(__xludf.DUMMYFUNCTION("""COMPUTED_VALUE"""),172.79)</f>
        <v>172.79</v>
      </c>
      <c r="C226" s="4">
        <f>IFERROR(__xludf.DUMMYFUNCTION("""COMPUTED_VALUE"""),44607.66666666667)</f>
        <v>44607.66667</v>
      </c>
      <c r="D226" s="1">
        <f>IFERROR(__xludf.DUMMYFUNCTION("""COMPUTED_VALUE"""),300.47)</f>
        <v>300.47</v>
      </c>
      <c r="E226" s="4">
        <f>IFERROR(__xludf.DUMMYFUNCTION("""COMPUTED_VALUE"""),44607.66666666667)</f>
        <v>44607.66667</v>
      </c>
      <c r="F226" s="1">
        <f>IFERROR(__xludf.DUMMYFUNCTION("""COMPUTED_VALUE"""),77.99)</f>
        <v>77.99</v>
      </c>
      <c r="G226" s="4">
        <f>IFERROR(__xludf.DUMMYFUNCTION("""COMPUTED_VALUE"""),44607.66666666667)</f>
        <v>44607.66667</v>
      </c>
      <c r="H226" s="1">
        <f>IFERROR(__xludf.DUMMYFUNCTION("""COMPUTED_VALUE"""),134.26)</f>
        <v>134.26</v>
      </c>
      <c r="I226" s="5">
        <f t="shared" si="1"/>
        <v>-0.001388969269</v>
      </c>
      <c r="K226" s="5">
        <f t="shared" si="2"/>
        <v>-0.003228275701</v>
      </c>
      <c r="L226" s="5">
        <f t="shared" si="3"/>
        <v>0.004615976407</v>
      </c>
      <c r="M226" s="5">
        <f t="shared" si="4"/>
        <v>0.0002979293907</v>
      </c>
      <c r="Q226" s="5"/>
    </row>
    <row r="227">
      <c r="A227" s="4">
        <f>IFERROR(__xludf.DUMMYFUNCTION("""COMPUTED_VALUE"""),44608.66666666667)</f>
        <v>44608.66667</v>
      </c>
      <c r="B227" s="1">
        <f>IFERROR(__xludf.DUMMYFUNCTION("""COMPUTED_VALUE"""),172.55)</f>
        <v>172.55</v>
      </c>
      <c r="C227" s="4">
        <f>IFERROR(__xludf.DUMMYFUNCTION("""COMPUTED_VALUE"""),44608.66666666667)</f>
        <v>44608.66667</v>
      </c>
      <c r="D227" s="1">
        <f>IFERROR(__xludf.DUMMYFUNCTION("""COMPUTED_VALUE"""),299.5)</f>
        <v>299.5</v>
      </c>
      <c r="E227" s="4">
        <f>IFERROR(__xludf.DUMMYFUNCTION("""COMPUTED_VALUE"""),44608.66666666667)</f>
        <v>44608.66667</v>
      </c>
      <c r="F227" s="1">
        <f>IFERROR(__xludf.DUMMYFUNCTION("""COMPUTED_VALUE"""),78.35)</f>
        <v>78.35</v>
      </c>
      <c r="G227" s="4">
        <f>IFERROR(__xludf.DUMMYFUNCTION("""COMPUTED_VALUE"""),44608.66666666667)</f>
        <v>44608.66667</v>
      </c>
      <c r="H227" s="1">
        <f>IFERROR(__xludf.DUMMYFUNCTION("""COMPUTED_VALUE"""),134.3)</f>
        <v>134.3</v>
      </c>
      <c r="I227" s="5">
        <f t="shared" si="1"/>
        <v>-0.02126919733</v>
      </c>
      <c r="K227" s="5">
        <f t="shared" si="2"/>
        <v>-0.02928213689</v>
      </c>
      <c r="L227" s="5">
        <f t="shared" si="3"/>
        <v>-0.001531589024</v>
      </c>
      <c r="M227" s="5">
        <f t="shared" si="4"/>
        <v>-0.005137751303</v>
      </c>
      <c r="Q227" s="5"/>
    </row>
    <row r="228">
      <c r="A228" s="4">
        <f>IFERROR(__xludf.DUMMYFUNCTION("""COMPUTED_VALUE"""),44609.66666666667)</f>
        <v>44609.66667</v>
      </c>
      <c r="B228" s="1">
        <f>IFERROR(__xludf.DUMMYFUNCTION("""COMPUTED_VALUE"""),168.88)</f>
        <v>168.88</v>
      </c>
      <c r="C228" s="4">
        <f>IFERROR(__xludf.DUMMYFUNCTION("""COMPUTED_VALUE"""),44609.66666666667)</f>
        <v>44609.66667</v>
      </c>
      <c r="D228" s="1">
        <f>IFERROR(__xludf.DUMMYFUNCTION("""COMPUTED_VALUE"""),290.73)</f>
        <v>290.73</v>
      </c>
      <c r="E228" s="4">
        <f>IFERROR(__xludf.DUMMYFUNCTION("""COMPUTED_VALUE"""),44609.66666666667)</f>
        <v>44609.66667</v>
      </c>
      <c r="F228" s="1">
        <f>IFERROR(__xludf.DUMMYFUNCTION("""COMPUTED_VALUE"""),78.23)</f>
        <v>78.23</v>
      </c>
      <c r="G228" s="4">
        <f>IFERROR(__xludf.DUMMYFUNCTION("""COMPUTED_VALUE"""),44609.66666666667)</f>
        <v>44609.66667</v>
      </c>
      <c r="H228" s="1">
        <f>IFERROR(__xludf.DUMMYFUNCTION("""COMPUTED_VALUE"""),133.61)</f>
        <v>133.61</v>
      </c>
      <c r="I228" s="5">
        <f t="shared" si="1"/>
        <v>-0.009355755566</v>
      </c>
      <c r="K228" s="5">
        <f t="shared" si="2"/>
        <v>-0.009630929041</v>
      </c>
      <c r="L228" s="5">
        <f t="shared" si="3"/>
        <v>-0.0111210533</v>
      </c>
      <c r="M228" s="5">
        <f t="shared" si="4"/>
        <v>-0.001422049248</v>
      </c>
      <c r="Q228" s="5"/>
    </row>
    <row r="229">
      <c r="A229" s="4">
        <f>IFERROR(__xludf.DUMMYFUNCTION("""COMPUTED_VALUE"""),44610.66666666667)</f>
        <v>44610.66667</v>
      </c>
      <c r="B229" s="1">
        <f>IFERROR(__xludf.DUMMYFUNCTION("""COMPUTED_VALUE"""),167.3)</f>
        <v>167.3</v>
      </c>
      <c r="C229" s="4">
        <f>IFERROR(__xludf.DUMMYFUNCTION("""COMPUTED_VALUE"""),44610.66666666667)</f>
        <v>44610.66667</v>
      </c>
      <c r="D229" s="1">
        <f>IFERROR(__xludf.DUMMYFUNCTION("""COMPUTED_VALUE"""),287.93)</f>
        <v>287.93</v>
      </c>
      <c r="E229" s="4">
        <f>IFERROR(__xludf.DUMMYFUNCTION("""COMPUTED_VALUE"""),44610.66666666667)</f>
        <v>44610.66667</v>
      </c>
      <c r="F229" s="1">
        <f>IFERROR(__xludf.DUMMYFUNCTION("""COMPUTED_VALUE"""),77.36)</f>
        <v>77.36</v>
      </c>
      <c r="G229" s="4">
        <f>IFERROR(__xludf.DUMMYFUNCTION("""COMPUTED_VALUE"""),44610.66666666667)</f>
        <v>44610.66667</v>
      </c>
      <c r="H229" s="1">
        <f>IFERROR(__xludf.DUMMYFUNCTION("""COMPUTED_VALUE"""),133.42)</f>
        <v>133.42</v>
      </c>
      <c r="I229" s="5">
        <f t="shared" si="1"/>
        <v>-0.01781231321</v>
      </c>
      <c r="K229" s="5">
        <f t="shared" si="2"/>
        <v>-0.0007293439378</v>
      </c>
      <c r="L229" s="5">
        <f t="shared" si="3"/>
        <v>-0.01163391934</v>
      </c>
      <c r="M229" s="5">
        <f t="shared" si="4"/>
        <v>-0.00764503073</v>
      </c>
      <c r="Q229" s="5"/>
    </row>
    <row r="230">
      <c r="A230" s="4">
        <f>IFERROR(__xludf.DUMMYFUNCTION("""COMPUTED_VALUE"""),44614.66666666667)</f>
        <v>44614.66667</v>
      </c>
      <c r="B230" s="1">
        <f>IFERROR(__xludf.DUMMYFUNCTION("""COMPUTED_VALUE"""),164.32)</f>
        <v>164.32</v>
      </c>
      <c r="C230" s="4">
        <f>IFERROR(__xludf.DUMMYFUNCTION("""COMPUTED_VALUE"""),44614.66666666667)</f>
        <v>44614.66667</v>
      </c>
      <c r="D230" s="1">
        <f>IFERROR(__xludf.DUMMYFUNCTION("""COMPUTED_VALUE"""),287.72)</f>
        <v>287.72</v>
      </c>
      <c r="E230" s="4">
        <f>IFERROR(__xludf.DUMMYFUNCTION("""COMPUTED_VALUE"""),44614.66666666667)</f>
        <v>44614.66667</v>
      </c>
      <c r="F230" s="1">
        <f>IFERROR(__xludf.DUMMYFUNCTION("""COMPUTED_VALUE"""),76.46)</f>
        <v>76.46</v>
      </c>
      <c r="G230" s="4">
        <f>IFERROR(__xludf.DUMMYFUNCTION("""COMPUTED_VALUE"""),44614.66666666667)</f>
        <v>44614.66667</v>
      </c>
      <c r="H230" s="1">
        <f>IFERROR(__xludf.DUMMYFUNCTION("""COMPUTED_VALUE"""),132.4)</f>
        <v>132.4</v>
      </c>
      <c r="I230" s="5">
        <f t="shared" si="1"/>
        <v>-0.02586416748</v>
      </c>
      <c r="K230" s="5">
        <f t="shared" si="2"/>
        <v>-0.02589322953</v>
      </c>
      <c r="L230" s="5">
        <f t="shared" si="3"/>
        <v>0.004054407533</v>
      </c>
      <c r="M230" s="5">
        <f t="shared" si="4"/>
        <v>0.02379154079</v>
      </c>
      <c r="Q230" s="5"/>
    </row>
    <row r="231">
      <c r="A231" s="4">
        <f>IFERROR(__xludf.DUMMYFUNCTION("""COMPUTED_VALUE"""),44615.66666666667)</f>
        <v>44615.66667</v>
      </c>
      <c r="B231" s="1">
        <f>IFERROR(__xludf.DUMMYFUNCTION("""COMPUTED_VALUE"""),160.07)</f>
        <v>160.07</v>
      </c>
      <c r="C231" s="4">
        <f>IFERROR(__xludf.DUMMYFUNCTION("""COMPUTED_VALUE"""),44615.66666666667)</f>
        <v>44615.66667</v>
      </c>
      <c r="D231" s="1">
        <f>IFERROR(__xludf.DUMMYFUNCTION("""COMPUTED_VALUE"""),280.27)</f>
        <v>280.27</v>
      </c>
      <c r="E231" s="4">
        <f>IFERROR(__xludf.DUMMYFUNCTION("""COMPUTED_VALUE"""),44615.66666666667)</f>
        <v>44615.66667</v>
      </c>
      <c r="F231" s="1">
        <f>IFERROR(__xludf.DUMMYFUNCTION("""COMPUTED_VALUE"""),76.77)</f>
        <v>76.77</v>
      </c>
      <c r="G231" s="4">
        <f>IFERROR(__xludf.DUMMYFUNCTION("""COMPUTED_VALUE"""),44615.66666666667)</f>
        <v>44615.66667</v>
      </c>
      <c r="H231" s="1">
        <f>IFERROR(__xludf.DUMMYFUNCTION("""COMPUTED_VALUE"""),135.55)</f>
        <v>135.55</v>
      </c>
      <c r="I231" s="5">
        <f t="shared" si="1"/>
        <v>0.01668020241</v>
      </c>
      <c r="K231" s="5">
        <f t="shared" si="2"/>
        <v>0.05109358833</v>
      </c>
      <c r="L231" s="5">
        <f t="shared" si="3"/>
        <v>-0.01263514394</v>
      </c>
      <c r="M231" s="5">
        <f t="shared" si="4"/>
        <v>-0.005164146072</v>
      </c>
      <c r="Q231" s="5"/>
    </row>
    <row r="232">
      <c r="A232" s="4">
        <f>IFERROR(__xludf.DUMMYFUNCTION("""COMPUTED_VALUE"""),44616.66666666667)</f>
        <v>44616.66667</v>
      </c>
      <c r="B232" s="1">
        <f>IFERROR(__xludf.DUMMYFUNCTION("""COMPUTED_VALUE"""),162.74)</f>
        <v>162.74</v>
      </c>
      <c r="C232" s="4">
        <f>IFERROR(__xludf.DUMMYFUNCTION("""COMPUTED_VALUE"""),44616.66666666667)</f>
        <v>44616.66667</v>
      </c>
      <c r="D232" s="1">
        <f>IFERROR(__xludf.DUMMYFUNCTION("""COMPUTED_VALUE"""),294.59)</f>
        <v>294.59</v>
      </c>
      <c r="E232" s="4">
        <f>IFERROR(__xludf.DUMMYFUNCTION("""COMPUTED_VALUE"""),44616.66666666667)</f>
        <v>44616.66667</v>
      </c>
      <c r="F232" s="1">
        <f>IFERROR(__xludf.DUMMYFUNCTION("""COMPUTED_VALUE"""),75.8)</f>
        <v>75.8</v>
      </c>
      <c r="G232" s="4">
        <f>IFERROR(__xludf.DUMMYFUNCTION("""COMPUTED_VALUE"""),44616.66666666667)</f>
        <v>44616.66667</v>
      </c>
      <c r="H232" s="1">
        <f>IFERROR(__xludf.DUMMYFUNCTION("""COMPUTED_VALUE"""),134.85)</f>
        <v>134.85</v>
      </c>
      <c r="I232" s="5">
        <f t="shared" si="1"/>
        <v>0.01296546639</v>
      </c>
      <c r="K232" s="5">
        <f t="shared" si="2"/>
        <v>0.009233171527</v>
      </c>
      <c r="L232" s="5">
        <f t="shared" si="3"/>
        <v>0.02691292876</v>
      </c>
      <c r="M232" s="5">
        <f t="shared" si="4"/>
        <v>0.04100852799</v>
      </c>
      <c r="Q232" s="5"/>
    </row>
    <row r="233">
      <c r="A233" s="4">
        <f>IFERROR(__xludf.DUMMYFUNCTION("""COMPUTED_VALUE"""),44617.66666666667)</f>
        <v>44617.66667</v>
      </c>
      <c r="B233" s="1">
        <f>IFERROR(__xludf.DUMMYFUNCTION("""COMPUTED_VALUE"""),164.85)</f>
        <v>164.85</v>
      </c>
      <c r="C233" s="4">
        <f>IFERROR(__xludf.DUMMYFUNCTION("""COMPUTED_VALUE"""),44617.66666666667)</f>
        <v>44617.66667</v>
      </c>
      <c r="D233" s="1">
        <f>IFERROR(__xludf.DUMMYFUNCTION("""COMPUTED_VALUE"""),297.31)</f>
        <v>297.31</v>
      </c>
      <c r="E233" s="4">
        <f>IFERROR(__xludf.DUMMYFUNCTION("""COMPUTED_VALUE"""),44617.66666666667)</f>
        <v>44617.66667</v>
      </c>
      <c r="F233" s="1">
        <f>IFERROR(__xludf.DUMMYFUNCTION("""COMPUTED_VALUE"""),77.84)</f>
        <v>77.84</v>
      </c>
      <c r="G233" s="4">
        <f>IFERROR(__xludf.DUMMYFUNCTION("""COMPUTED_VALUE"""),44617.66666666667)</f>
        <v>44617.66667</v>
      </c>
      <c r="H233" s="1">
        <f>IFERROR(__xludf.DUMMYFUNCTION("""COMPUTED_VALUE"""),140.38)</f>
        <v>140.38</v>
      </c>
      <c r="I233" s="5">
        <f t="shared" si="1"/>
        <v>0.001637852593</v>
      </c>
      <c r="K233" s="5">
        <f t="shared" si="2"/>
        <v>0.004977969123</v>
      </c>
      <c r="L233" s="5">
        <f t="shared" si="3"/>
        <v>0.007451181912</v>
      </c>
      <c r="M233" s="5">
        <f t="shared" si="4"/>
        <v>0.02578714917</v>
      </c>
      <c r="Q233" s="5"/>
    </row>
    <row r="234">
      <c r="A234" s="4">
        <f>IFERROR(__xludf.DUMMYFUNCTION("""COMPUTED_VALUE"""),44620.66666666667)</f>
        <v>44620.66667</v>
      </c>
      <c r="B234" s="1">
        <f>IFERROR(__xludf.DUMMYFUNCTION("""COMPUTED_VALUE"""),165.12)</f>
        <v>165.12</v>
      </c>
      <c r="C234" s="4">
        <f>IFERROR(__xludf.DUMMYFUNCTION("""COMPUTED_VALUE"""),44620.66666666667)</f>
        <v>44620.66667</v>
      </c>
      <c r="D234" s="1">
        <f>IFERROR(__xludf.DUMMYFUNCTION("""COMPUTED_VALUE"""),298.79)</f>
        <v>298.79</v>
      </c>
      <c r="E234" s="4">
        <f>IFERROR(__xludf.DUMMYFUNCTION("""COMPUTED_VALUE"""),44620.66666666667)</f>
        <v>44620.66667</v>
      </c>
      <c r="F234" s="1">
        <f>IFERROR(__xludf.DUMMYFUNCTION("""COMPUTED_VALUE"""),78.42)</f>
        <v>78.42</v>
      </c>
      <c r="G234" s="4">
        <f>IFERROR(__xludf.DUMMYFUNCTION("""COMPUTED_VALUE"""),44620.66666666667)</f>
        <v>44620.66667</v>
      </c>
      <c r="H234" s="1">
        <f>IFERROR(__xludf.DUMMYFUNCTION("""COMPUTED_VALUE"""),144.0)</f>
        <v>144</v>
      </c>
      <c r="I234" s="5">
        <f t="shared" si="1"/>
        <v>-0.01162790698</v>
      </c>
      <c r="K234" s="5">
        <f t="shared" si="2"/>
        <v>-0.01285183574</v>
      </c>
      <c r="L234" s="5">
        <f t="shared" si="3"/>
        <v>0.009563886764</v>
      </c>
      <c r="M234" s="5">
        <f t="shared" si="4"/>
        <v>0.03972222222</v>
      </c>
      <c r="Q234" s="5"/>
    </row>
    <row r="235">
      <c r="A235" s="4">
        <f>IFERROR(__xludf.DUMMYFUNCTION("""COMPUTED_VALUE"""),44621.66666666667)</f>
        <v>44621.66667</v>
      </c>
      <c r="B235" s="1">
        <f>IFERROR(__xludf.DUMMYFUNCTION("""COMPUTED_VALUE"""),163.2)</f>
        <v>163.2</v>
      </c>
      <c r="C235" s="4">
        <f>IFERROR(__xludf.DUMMYFUNCTION("""COMPUTED_VALUE"""),44621.66666666667)</f>
        <v>44621.66667</v>
      </c>
      <c r="D235" s="1">
        <f>IFERROR(__xludf.DUMMYFUNCTION("""COMPUTED_VALUE"""),294.95)</f>
        <v>294.95</v>
      </c>
      <c r="E235" s="4">
        <f>IFERROR(__xludf.DUMMYFUNCTION("""COMPUTED_VALUE"""),44621.66666666667)</f>
        <v>44621.66667</v>
      </c>
      <c r="F235" s="1">
        <f>IFERROR(__xludf.DUMMYFUNCTION("""COMPUTED_VALUE"""),79.17)</f>
        <v>79.17</v>
      </c>
      <c r="G235" s="4">
        <f>IFERROR(__xludf.DUMMYFUNCTION("""COMPUTED_VALUE"""),44621.66666666667)</f>
        <v>44621.66667</v>
      </c>
      <c r="H235" s="1">
        <f>IFERROR(__xludf.DUMMYFUNCTION("""COMPUTED_VALUE"""),149.72)</f>
        <v>149.72</v>
      </c>
      <c r="I235" s="5">
        <f t="shared" si="1"/>
        <v>0.02058823529</v>
      </c>
      <c r="K235" s="5">
        <f t="shared" si="2"/>
        <v>0.017765723</v>
      </c>
      <c r="L235" s="5">
        <f t="shared" si="3"/>
        <v>0.01717822407</v>
      </c>
      <c r="M235" s="5">
        <f t="shared" si="4"/>
        <v>0.02952177398</v>
      </c>
      <c r="Q235" s="5"/>
    </row>
    <row r="236">
      <c r="A236" s="4">
        <f>IFERROR(__xludf.DUMMYFUNCTION("""COMPUTED_VALUE"""),44622.66666666667)</f>
        <v>44622.66667</v>
      </c>
      <c r="B236" s="1">
        <f>IFERROR(__xludf.DUMMYFUNCTION("""COMPUTED_VALUE"""),166.56)</f>
        <v>166.56</v>
      </c>
      <c r="C236" s="4">
        <f>IFERROR(__xludf.DUMMYFUNCTION("""COMPUTED_VALUE"""),44622.66666666667)</f>
        <v>44622.66667</v>
      </c>
      <c r="D236" s="1">
        <f>IFERROR(__xludf.DUMMYFUNCTION("""COMPUTED_VALUE"""),300.19)</f>
        <v>300.19</v>
      </c>
      <c r="E236" s="4">
        <f>IFERROR(__xludf.DUMMYFUNCTION("""COMPUTED_VALUE"""),44622.66666666667)</f>
        <v>44622.66667</v>
      </c>
      <c r="F236" s="1">
        <f>IFERROR(__xludf.DUMMYFUNCTION("""COMPUTED_VALUE"""),80.53)</f>
        <v>80.53</v>
      </c>
      <c r="G236" s="4">
        <f>IFERROR(__xludf.DUMMYFUNCTION("""COMPUTED_VALUE"""),44622.66666666667)</f>
        <v>44622.66667</v>
      </c>
      <c r="H236" s="1">
        <f>IFERROR(__xludf.DUMMYFUNCTION("""COMPUTED_VALUE"""),154.14)</f>
        <v>154.14</v>
      </c>
      <c r="I236" s="5">
        <f t="shared" si="1"/>
        <v>-0.001981268012</v>
      </c>
      <c r="K236" s="5">
        <f t="shared" si="2"/>
        <v>-0.01422432459</v>
      </c>
      <c r="L236" s="5">
        <f t="shared" si="3"/>
        <v>0.006333043586</v>
      </c>
      <c r="M236" s="5">
        <f t="shared" si="4"/>
        <v>0.01349422603</v>
      </c>
      <c r="Q236" s="5"/>
    </row>
    <row r="237">
      <c r="A237" s="4">
        <f>IFERROR(__xludf.DUMMYFUNCTION("""COMPUTED_VALUE"""),44623.66666666667)</f>
        <v>44623.66667</v>
      </c>
      <c r="B237" s="1">
        <f>IFERROR(__xludf.DUMMYFUNCTION("""COMPUTED_VALUE"""),166.23)</f>
        <v>166.23</v>
      </c>
      <c r="C237" s="4">
        <f>IFERROR(__xludf.DUMMYFUNCTION("""COMPUTED_VALUE"""),44623.66666666667)</f>
        <v>44623.66667</v>
      </c>
      <c r="D237" s="1">
        <f>IFERROR(__xludf.DUMMYFUNCTION("""COMPUTED_VALUE"""),295.92)</f>
        <v>295.92</v>
      </c>
      <c r="E237" s="4">
        <f>IFERROR(__xludf.DUMMYFUNCTION("""COMPUTED_VALUE"""),44623.66666666667)</f>
        <v>44623.66667</v>
      </c>
      <c r="F237" s="1">
        <f>IFERROR(__xludf.DUMMYFUNCTION("""COMPUTED_VALUE"""),81.04)</f>
        <v>81.04</v>
      </c>
      <c r="G237" s="4">
        <f>IFERROR(__xludf.DUMMYFUNCTION("""COMPUTED_VALUE"""),44623.66666666667)</f>
        <v>44623.66667</v>
      </c>
      <c r="H237" s="1">
        <f>IFERROR(__xludf.DUMMYFUNCTION("""COMPUTED_VALUE"""),156.22)</f>
        <v>156.22</v>
      </c>
      <c r="I237" s="5">
        <f t="shared" si="1"/>
        <v>-0.01840822956</v>
      </c>
      <c r="K237" s="5">
        <f t="shared" si="2"/>
        <v>-0.0204785077</v>
      </c>
      <c r="L237" s="5">
        <f t="shared" si="3"/>
        <v>0.03763573544</v>
      </c>
      <c r="M237" s="5">
        <f t="shared" si="4"/>
        <v>0.01555498656</v>
      </c>
      <c r="Q237" s="5"/>
    </row>
    <row r="238">
      <c r="A238" s="4">
        <f>IFERROR(__xludf.DUMMYFUNCTION("""COMPUTED_VALUE"""),44624.66666666667)</f>
        <v>44624.66667</v>
      </c>
      <c r="B238" s="1">
        <f>IFERROR(__xludf.DUMMYFUNCTION("""COMPUTED_VALUE"""),163.17)</f>
        <v>163.17</v>
      </c>
      <c r="C238" s="4">
        <f>IFERROR(__xludf.DUMMYFUNCTION("""COMPUTED_VALUE"""),44624.66666666667)</f>
        <v>44624.66667</v>
      </c>
      <c r="D238" s="1">
        <f>IFERROR(__xludf.DUMMYFUNCTION("""COMPUTED_VALUE"""),289.86)</f>
        <v>289.86</v>
      </c>
      <c r="E238" s="4">
        <f>IFERROR(__xludf.DUMMYFUNCTION("""COMPUTED_VALUE"""),44624.66666666667)</f>
        <v>44624.66667</v>
      </c>
      <c r="F238" s="1">
        <f>IFERROR(__xludf.DUMMYFUNCTION("""COMPUTED_VALUE"""),84.09)</f>
        <v>84.09</v>
      </c>
      <c r="G238" s="4">
        <f>IFERROR(__xludf.DUMMYFUNCTION("""COMPUTED_VALUE"""),44624.66666666667)</f>
        <v>44624.66667</v>
      </c>
      <c r="H238" s="1">
        <f>IFERROR(__xludf.DUMMYFUNCTION("""COMPUTED_VALUE"""),158.65)</f>
        <v>158.65</v>
      </c>
      <c r="I238" s="5">
        <f t="shared" si="1"/>
        <v>-0.02371759515</v>
      </c>
      <c r="K238" s="5">
        <f t="shared" si="2"/>
        <v>-0.03777685779</v>
      </c>
      <c r="L238" s="5">
        <f t="shared" si="3"/>
        <v>0.03603282198</v>
      </c>
      <c r="M238" s="5">
        <f t="shared" si="4"/>
        <v>0.02136779073</v>
      </c>
      <c r="Q238" s="5"/>
    </row>
    <row r="239">
      <c r="A239" s="4">
        <f>IFERROR(__xludf.DUMMYFUNCTION("""COMPUTED_VALUE"""),44627.66666666667)</f>
        <v>44627.66667</v>
      </c>
      <c r="B239" s="1">
        <f>IFERROR(__xludf.DUMMYFUNCTION("""COMPUTED_VALUE"""),159.3)</f>
        <v>159.3</v>
      </c>
      <c r="C239" s="4">
        <f>IFERROR(__xludf.DUMMYFUNCTION("""COMPUTED_VALUE"""),44627.66666666667)</f>
        <v>44627.66667</v>
      </c>
      <c r="D239" s="1">
        <f>IFERROR(__xludf.DUMMYFUNCTION("""COMPUTED_VALUE"""),278.91)</f>
        <v>278.91</v>
      </c>
      <c r="E239" s="4">
        <f>IFERROR(__xludf.DUMMYFUNCTION("""COMPUTED_VALUE"""),44627.66666666667)</f>
        <v>44627.66667</v>
      </c>
      <c r="F239" s="1">
        <f>IFERROR(__xludf.DUMMYFUNCTION("""COMPUTED_VALUE"""),87.12)</f>
        <v>87.12</v>
      </c>
      <c r="G239" s="4">
        <f>IFERROR(__xludf.DUMMYFUNCTION("""COMPUTED_VALUE"""),44627.66666666667)</f>
        <v>44627.66667</v>
      </c>
      <c r="H239" s="1">
        <f>IFERROR(__xludf.DUMMYFUNCTION("""COMPUTED_VALUE"""),162.04)</f>
        <v>162.04</v>
      </c>
      <c r="I239" s="5">
        <f t="shared" si="1"/>
        <v>-0.01167608286</v>
      </c>
      <c r="K239" s="5">
        <f t="shared" si="2"/>
        <v>-0.01097128106</v>
      </c>
      <c r="L239" s="5">
        <f t="shared" si="3"/>
        <v>0.007575757576</v>
      </c>
      <c r="M239" s="5">
        <f t="shared" si="4"/>
        <v>0.0523944705</v>
      </c>
      <c r="Q239" s="5"/>
    </row>
    <row r="240">
      <c r="A240" s="4">
        <f>IFERROR(__xludf.DUMMYFUNCTION("""COMPUTED_VALUE"""),44628.66666666667)</f>
        <v>44628.66667</v>
      </c>
      <c r="B240" s="1">
        <f>IFERROR(__xludf.DUMMYFUNCTION("""COMPUTED_VALUE"""),157.44)</f>
        <v>157.44</v>
      </c>
      <c r="C240" s="4">
        <f>IFERROR(__xludf.DUMMYFUNCTION("""COMPUTED_VALUE"""),44628.66666666667)</f>
        <v>44628.66667</v>
      </c>
      <c r="D240" s="1">
        <f>IFERROR(__xludf.DUMMYFUNCTION("""COMPUTED_VALUE"""),275.85)</f>
        <v>275.85</v>
      </c>
      <c r="E240" s="4">
        <f>IFERROR(__xludf.DUMMYFUNCTION("""COMPUTED_VALUE"""),44628.66666666667)</f>
        <v>44628.66667</v>
      </c>
      <c r="F240" s="1">
        <f>IFERROR(__xludf.DUMMYFUNCTION("""COMPUTED_VALUE"""),87.78)</f>
        <v>87.78</v>
      </c>
      <c r="G240" s="4">
        <f>IFERROR(__xludf.DUMMYFUNCTION("""COMPUTED_VALUE"""),44628.66666666667)</f>
        <v>44628.66667</v>
      </c>
      <c r="H240" s="1">
        <f>IFERROR(__xludf.DUMMYFUNCTION("""COMPUTED_VALUE"""),170.53)</f>
        <v>170.53</v>
      </c>
      <c r="I240" s="5">
        <f t="shared" si="1"/>
        <v>0.03499745935</v>
      </c>
      <c r="K240" s="5">
        <f t="shared" si="2"/>
        <v>0.0458582563</v>
      </c>
      <c r="L240" s="5">
        <f t="shared" si="3"/>
        <v>-0.05684666211</v>
      </c>
      <c r="M240" s="5">
        <f t="shared" si="4"/>
        <v>-0.02498094177</v>
      </c>
      <c r="Q240" s="5"/>
    </row>
    <row r="241">
      <c r="A241" s="4">
        <f>IFERROR(__xludf.DUMMYFUNCTION("""COMPUTED_VALUE"""),44629.66666666667)</f>
        <v>44629.66667</v>
      </c>
      <c r="B241" s="1">
        <f>IFERROR(__xludf.DUMMYFUNCTION("""COMPUTED_VALUE"""),162.95)</f>
        <v>162.95</v>
      </c>
      <c r="C241" s="4">
        <f>IFERROR(__xludf.DUMMYFUNCTION("""COMPUTED_VALUE"""),44629.66666666667)</f>
        <v>44629.66667</v>
      </c>
      <c r="D241" s="1">
        <f>IFERROR(__xludf.DUMMYFUNCTION("""COMPUTED_VALUE"""),288.5)</f>
        <v>288.5</v>
      </c>
      <c r="E241" s="4">
        <f>IFERROR(__xludf.DUMMYFUNCTION("""COMPUTED_VALUE"""),44629.66666666667)</f>
        <v>44629.66667</v>
      </c>
      <c r="F241" s="1">
        <f>IFERROR(__xludf.DUMMYFUNCTION("""COMPUTED_VALUE"""),82.79)</f>
        <v>82.79</v>
      </c>
      <c r="G241" s="4">
        <f>IFERROR(__xludf.DUMMYFUNCTION("""COMPUTED_VALUE"""),44629.66666666667)</f>
        <v>44629.66667</v>
      </c>
      <c r="H241" s="1">
        <f>IFERROR(__xludf.DUMMYFUNCTION("""COMPUTED_VALUE"""),166.27)</f>
        <v>166.27</v>
      </c>
      <c r="I241" s="5">
        <f t="shared" si="1"/>
        <v>-0.02718625345</v>
      </c>
      <c r="K241" s="5">
        <f t="shared" si="2"/>
        <v>-0.01008665511</v>
      </c>
      <c r="L241" s="5">
        <f t="shared" si="3"/>
        <v>0.03104239642</v>
      </c>
      <c r="M241" s="5">
        <f t="shared" si="4"/>
        <v>0.02736512901</v>
      </c>
      <c r="Q241" s="5"/>
    </row>
    <row r="242">
      <c r="A242" s="4">
        <f>IFERROR(__xludf.DUMMYFUNCTION("""COMPUTED_VALUE"""),44630.66666666667)</f>
        <v>44630.66667</v>
      </c>
      <c r="B242" s="1">
        <f>IFERROR(__xludf.DUMMYFUNCTION("""COMPUTED_VALUE"""),158.52)</f>
        <v>158.52</v>
      </c>
      <c r="C242" s="4">
        <f>IFERROR(__xludf.DUMMYFUNCTION("""COMPUTED_VALUE"""),44630.66666666667)</f>
        <v>44630.66667</v>
      </c>
      <c r="D242" s="1">
        <f>IFERROR(__xludf.DUMMYFUNCTION("""COMPUTED_VALUE"""),285.59)</f>
        <v>285.59</v>
      </c>
      <c r="E242" s="4">
        <f>IFERROR(__xludf.DUMMYFUNCTION("""COMPUTED_VALUE"""),44630.66666666667)</f>
        <v>44630.66667</v>
      </c>
      <c r="F242" s="1">
        <f>IFERROR(__xludf.DUMMYFUNCTION("""COMPUTED_VALUE"""),85.36)</f>
        <v>85.36</v>
      </c>
      <c r="G242" s="4">
        <f>IFERROR(__xludf.DUMMYFUNCTION("""COMPUTED_VALUE"""),44630.66666666667)</f>
        <v>44630.66667</v>
      </c>
      <c r="H242" s="1">
        <f>IFERROR(__xludf.DUMMYFUNCTION("""COMPUTED_VALUE"""),170.82)</f>
        <v>170.82</v>
      </c>
      <c r="I242" s="5">
        <f t="shared" si="1"/>
        <v>-0.02390865506</v>
      </c>
      <c r="K242" s="5">
        <f t="shared" si="2"/>
        <v>-0.01932840786</v>
      </c>
      <c r="L242" s="5">
        <f t="shared" si="3"/>
        <v>-0.005154639175</v>
      </c>
      <c r="M242" s="5">
        <f t="shared" si="4"/>
        <v>0.0004683292355</v>
      </c>
      <c r="Q242" s="5"/>
    </row>
    <row r="243">
      <c r="A243" s="4">
        <f>IFERROR(__xludf.DUMMYFUNCTION("""COMPUTED_VALUE"""),44631.66666666667)</f>
        <v>44631.66667</v>
      </c>
      <c r="B243" s="1">
        <f>IFERROR(__xludf.DUMMYFUNCTION("""COMPUTED_VALUE"""),154.73)</f>
        <v>154.73</v>
      </c>
      <c r="C243" s="4">
        <f>IFERROR(__xludf.DUMMYFUNCTION("""COMPUTED_VALUE"""),44631.66666666667)</f>
        <v>44631.66667</v>
      </c>
      <c r="D243" s="1">
        <f>IFERROR(__xludf.DUMMYFUNCTION("""COMPUTED_VALUE"""),280.07)</f>
        <v>280.07</v>
      </c>
      <c r="E243" s="4">
        <f>IFERROR(__xludf.DUMMYFUNCTION("""COMPUTED_VALUE"""),44631.66666666667)</f>
        <v>44631.66667</v>
      </c>
      <c r="F243" s="1">
        <f>IFERROR(__xludf.DUMMYFUNCTION("""COMPUTED_VALUE"""),84.92)</f>
        <v>84.92</v>
      </c>
      <c r="G243" s="4">
        <f>IFERROR(__xludf.DUMMYFUNCTION("""COMPUTED_VALUE"""),44631.66666666667)</f>
        <v>44631.66667</v>
      </c>
      <c r="H243" s="1">
        <f>IFERROR(__xludf.DUMMYFUNCTION("""COMPUTED_VALUE"""),170.9)</f>
        <v>170.9</v>
      </c>
      <c r="I243" s="5">
        <f t="shared" si="1"/>
        <v>-0.02656239902</v>
      </c>
      <c r="K243" s="5">
        <f t="shared" si="2"/>
        <v>-0.01296104545</v>
      </c>
      <c r="L243" s="5">
        <f t="shared" si="3"/>
        <v>-0.03579839849</v>
      </c>
      <c r="M243" s="5">
        <f t="shared" si="4"/>
        <v>-0.02445874781</v>
      </c>
      <c r="Q243" s="5"/>
    </row>
    <row r="244">
      <c r="A244" s="4">
        <f>IFERROR(__xludf.DUMMYFUNCTION("""COMPUTED_VALUE"""),44634.66666666667)</f>
        <v>44634.66667</v>
      </c>
      <c r="B244" s="1">
        <f>IFERROR(__xludf.DUMMYFUNCTION("""COMPUTED_VALUE"""),150.62)</f>
        <v>150.62</v>
      </c>
      <c r="C244" s="4">
        <f>IFERROR(__xludf.DUMMYFUNCTION("""COMPUTED_VALUE"""),44634.66666666667)</f>
        <v>44634.66667</v>
      </c>
      <c r="D244" s="1">
        <f>IFERROR(__xludf.DUMMYFUNCTION("""COMPUTED_VALUE"""),276.44)</f>
        <v>276.44</v>
      </c>
      <c r="E244" s="4">
        <f>IFERROR(__xludf.DUMMYFUNCTION("""COMPUTED_VALUE"""),44634.66666666667)</f>
        <v>44634.66667</v>
      </c>
      <c r="F244" s="1">
        <f>IFERROR(__xludf.DUMMYFUNCTION("""COMPUTED_VALUE"""),81.88)</f>
        <v>81.88</v>
      </c>
      <c r="G244" s="4">
        <f>IFERROR(__xludf.DUMMYFUNCTION("""COMPUTED_VALUE"""),44634.66666666667)</f>
        <v>44634.66667</v>
      </c>
      <c r="H244" s="1">
        <f>IFERROR(__xludf.DUMMYFUNCTION("""COMPUTED_VALUE"""),166.72)</f>
        <v>166.72</v>
      </c>
      <c r="I244" s="5">
        <f t="shared" si="1"/>
        <v>0.02967733369</v>
      </c>
      <c r="K244" s="5">
        <f t="shared" si="2"/>
        <v>0.03874258429</v>
      </c>
      <c r="L244" s="5">
        <f t="shared" si="3"/>
        <v>-0.05691255496</v>
      </c>
      <c r="M244" s="5">
        <f t="shared" si="4"/>
        <v>-0.05062380038</v>
      </c>
      <c r="Q244" s="5"/>
    </row>
    <row r="245">
      <c r="A245" s="4">
        <f>IFERROR(__xludf.DUMMYFUNCTION("""COMPUTED_VALUE"""),44635.66666666667)</f>
        <v>44635.66667</v>
      </c>
      <c r="B245" s="1">
        <f>IFERROR(__xludf.DUMMYFUNCTION("""COMPUTED_VALUE"""),155.09)</f>
        <v>155.09</v>
      </c>
      <c r="C245" s="4">
        <f>IFERROR(__xludf.DUMMYFUNCTION("""COMPUTED_VALUE"""),44635.66666666667)</f>
        <v>44635.66667</v>
      </c>
      <c r="D245" s="1">
        <f>IFERROR(__xludf.DUMMYFUNCTION("""COMPUTED_VALUE"""),287.15)</f>
        <v>287.15</v>
      </c>
      <c r="E245" s="4">
        <f>IFERROR(__xludf.DUMMYFUNCTION("""COMPUTED_VALUE"""),44635.66666666667)</f>
        <v>44635.66667</v>
      </c>
      <c r="F245" s="1">
        <f>IFERROR(__xludf.DUMMYFUNCTION("""COMPUTED_VALUE"""),77.22)</f>
        <v>77.22</v>
      </c>
      <c r="G245" s="4">
        <f>IFERROR(__xludf.DUMMYFUNCTION("""COMPUTED_VALUE"""),44635.66666666667)</f>
        <v>44635.66667</v>
      </c>
      <c r="H245" s="1">
        <f>IFERROR(__xludf.DUMMYFUNCTION("""COMPUTED_VALUE"""),158.28)</f>
        <v>158.28</v>
      </c>
      <c r="I245" s="5">
        <f t="shared" si="1"/>
        <v>0.02901541041</v>
      </c>
      <c r="K245" s="5">
        <f t="shared" si="2"/>
        <v>0.02521330315</v>
      </c>
      <c r="L245" s="5">
        <f t="shared" si="3"/>
        <v>-0.003755503756</v>
      </c>
      <c r="M245" s="5">
        <f t="shared" si="4"/>
        <v>-0.00360121304</v>
      </c>
      <c r="Q245" s="5"/>
    </row>
    <row r="246">
      <c r="A246" s="4">
        <f>IFERROR(__xludf.DUMMYFUNCTION("""COMPUTED_VALUE"""),44636.66666666667)</f>
        <v>44636.66667</v>
      </c>
      <c r="B246" s="1">
        <f>IFERROR(__xludf.DUMMYFUNCTION("""COMPUTED_VALUE"""),159.59)</f>
        <v>159.59</v>
      </c>
      <c r="C246" s="4">
        <f>IFERROR(__xludf.DUMMYFUNCTION("""COMPUTED_VALUE"""),44636.66666666667)</f>
        <v>44636.66667</v>
      </c>
      <c r="D246" s="1">
        <f>IFERROR(__xludf.DUMMYFUNCTION("""COMPUTED_VALUE"""),294.39)</f>
        <v>294.39</v>
      </c>
      <c r="E246" s="4">
        <f>IFERROR(__xludf.DUMMYFUNCTION("""COMPUTED_VALUE"""),44636.66666666667)</f>
        <v>44636.66667</v>
      </c>
      <c r="F246" s="1">
        <f>IFERROR(__xludf.DUMMYFUNCTION("""COMPUTED_VALUE"""),76.93)</f>
        <v>76.93</v>
      </c>
      <c r="G246" s="4">
        <f>IFERROR(__xludf.DUMMYFUNCTION("""COMPUTED_VALUE"""),44636.66666666667)</f>
        <v>44636.66667</v>
      </c>
      <c r="H246" s="1">
        <f>IFERROR(__xludf.DUMMYFUNCTION("""COMPUTED_VALUE"""),157.71)</f>
        <v>157.71</v>
      </c>
      <c r="I246" s="5">
        <f t="shared" si="1"/>
        <v>0.006454038474</v>
      </c>
      <c r="K246" s="5">
        <f t="shared" si="2"/>
        <v>0.002819389246</v>
      </c>
      <c r="L246" s="5">
        <f t="shared" si="3"/>
        <v>0.02664760172</v>
      </c>
      <c r="M246" s="5">
        <f t="shared" si="4"/>
        <v>0.017310253</v>
      </c>
      <c r="Q246" s="5"/>
    </row>
    <row r="247">
      <c r="A247" s="4">
        <f>IFERROR(__xludf.DUMMYFUNCTION("""COMPUTED_VALUE"""),44637.66666666667)</f>
        <v>44637.66667</v>
      </c>
      <c r="B247" s="1">
        <f>IFERROR(__xludf.DUMMYFUNCTION("""COMPUTED_VALUE"""),160.62)</f>
        <v>160.62</v>
      </c>
      <c r="C247" s="4">
        <f>IFERROR(__xludf.DUMMYFUNCTION("""COMPUTED_VALUE"""),44637.66666666667)</f>
        <v>44637.66667</v>
      </c>
      <c r="D247" s="1">
        <f>IFERROR(__xludf.DUMMYFUNCTION("""COMPUTED_VALUE"""),295.22)</f>
        <v>295.22</v>
      </c>
      <c r="E247" s="4">
        <f>IFERROR(__xludf.DUMMYFUNCTION("""COMPUTED_VALUE"""),44637.66666666667)</f>
        <v>44637.66667</v>
      </c>
      <c r="F247" s="1">
        <f>IFERROR(__xludf.DUMMYFUNCTION("""COMPUTED_VALUE"""),78.98)</f>
        <v>78.98</v>
      </c>
      <c r="G247" s="4">
        <f>IFERROR(__xludf.DUMMYFUNCTION("""COMPUTED_VALUE"""),44637.66666666667)</f>
        <v>44637.66667</v>
      </c>
      <c r="H247" s="1">
        <f>IFERROR(__xludf.DUMMYFUNCTION("""COMPUTED_VALUE"""),160.44)</f>
        <v>160.44</v>
      </c>
      <c r="I247" s="5">
        <f t="shared" si="1"/>
        <v>0.02091893911</v>
      </c>
      <c r="K247" s="5">
        <f t="shared" si="2"/>
        <v>0.01764785584</v>
      </c>
      <c r="L247" s="5">
        <f t="shared" si="3"/>
        <v>-0.003925044315</v>
      </c>
      <c r="M247" s="5">
        <f t="shared" si="4"/>
        <v>0.00804038893</v>
      </c>
      <c r="Q247" s="5"/>
    </row>
    <row r="248">
      <c r="A248" s="4">
        <f>IFERROR(__xludf.DUMMYFUNCTION("""COMPUTED_VALUE"""),44638.66666666667)</f>
        <v>44638.66667</v>
      </c>
      <c r="B248" s="1">
        <f>IFERROR(__xludf.DUMMYFUNCTION("""COMPUTED_VALUE"""),163.98)</f>
        <v>163.98</v>
      </c>
      <c r="C248" s="4">
        <f>IFERROR(__xludf.DUMMYFUNCTION("""COMPUTED_VALUE"""),44638.66666666667)</f>
        <v>44638.66667</v>
      </c>
      <c r="D248" s="1">
        <f>IFERROR(__xludf.DUMMYFUNCTION("""COMPUTED_VALUE"""),300.43)</f>
        <v>300.43</v>
      </c>
      <c r="E248" s="4">
        <f>IFERROR(__xludf.DUMMYFUNCTION("""COMPUTED_VALUE"""),44638.66666666667)</f>
        <v>44638.66667</v>
      </c>
      <c r="F248" s="1">
        <f>IFERROR(__xludf.DUMMYFUNCTION("""COMPUTED_VALUE"""),78.67)</f>
        <v>78.67</v>
      </c>
      <c r="G248" s="4">
        <f>IFERROR(__xludf.DUMMYFUNCTION("""COMPUTED_VALUE"""),44638.66666666667)</f>
        <v>44638.66667</v>
      </c>
      <c r="H248" s="1">
        <f>IFERROR(__xludf.DUMMYFUNCTION("""COMPUTED_VALUE"""),161.73)</f>
        <v>161.73</v>
      </c>
      <c r="I248" s="5">
        <f t="shared" si="1"/>
        <v>0.00853762654</v>
      </c>
      <c r="K248" s="5">
        <f t="shared" si="2"/>
        <v>-0.00422727424</v>
      </c>
      <c r="L248" s="5">
        <f t="shared" si="3"/>
        <v>0.04487098004</v>
      </c>
      <c r="M248" s="5">
        <f t="shared" si="4"/>
        <v>0.01799295121</v>
      </c>
      <c r="Q248" s="5"/>
    </row>
    <row r="249">
      <c r="A249" s="4">
        <f>IFERROR(__xludf.DUMMYFUNCTION("""COMPUTED_VALUE"""),44641.66666666667)</f>
        <v>44641.66667</v>
      </c>
      <c r="B249" s="1">
        <f>IFERROR(__xludf.DUMMYFUNCTION("""COMPUTED_VALUE"""),165.38)</f>
        <v>165.38</v>
      </c>
      <c r="C249" s="4">
        <f>IFERROR(__xludf.DUMMYFUNCTION("""COMPUTED_VALUE"""),44641.66666666667)</f>
        <v>44641.66667</v>
      </c>
      <c r="D249" s="1">
        <f>IFERROR(__xludf.DUMMYFUNCTION("""COMPUTED_VALUE"""),299.16)</f>
        <v>299.16</v>
      </c>
      <c r="E249" s="4">
        <f>IFERROR(__xludf.DUMMYFUNCTION("""COMPUTED_VALUE"""),44641.66666666667)</f>
        <v>44641.66667</v>
      </c>
      <c r="F249" s="1">
        <f>IFERROR(__xludf.DUMMYFUNCTION("""COMPUTED_VALUE"""),82.2)</f>
        <v>82.2</v>
      </c>
      <c r="G249" s="4">
        <f>IFERROR(__xludf.DUMMYFUNCTION("""COMPUTED_VALUE"""),44641.66666666667)</f>
        <v>44641.66667</v>
      </c>
      <c r="H249" s="1">
        <f>IFERROR(__xludf.DUMMYFUNCTION("""COMPUTED_VALUE"""),164.64)</f>
        <v>164.64</v>
      </c>
      <c r="I249" s="5">
        <f t="shared" si="1"/>
        <v>0.02080058048</v>
      </c>
      <c r="K249" s="5">
        <f t="shared" si="2"/>
        <v>0.01637919508</v>
      </c>
      <c r="L249" s="5">
        <f t="shared" si="3"/>
        <v>-0.004379562044</v>
      </c>
      <c r="M249" s="5">
        <f t="shared" si="4"/>
        <v>-0.003340621963</v>
      </c>
      <c r="Q249" s="5"/>
    </row>
    <row r="250">
      <c r="A250" s="4">
        <f>IFERROR(__xludf.DUMMYFUNCTION("""COMPUTED_VALUE"""),44642.66666666667)</f>
        <v>44642.66667</v>
      </c>
      <c r="B250" s="1">
        <f>IFERROR(__xludf.DUMMYFUNCTION("""COMPUTED_VALUE"""),168.82)</f>
        <v>168.82</v>
      </c>
      <c r="C250" s="4">
        <f>IFERROR(__xludf.DUMMYFUNCTION("""COMPUTED_VALUE"""),44642.66666666667)</f>
        <v>44642.66667</v>
      </c>
      <c r="D250" s="1">
        <f>IFERROR(__xludf.DUMMYFUNCTION("""COMPUTED_VALUE"""),304.06)</f>
        <v>304.06</v>
      </c>
      <c r="E250" s="4">
        <f>IFERROR(__xludf.DUMMYFUNCTION("""COMPUTED_VALUE"""),44642.66666666667)</f>
        <v>44642.66667</v>
      </c>
      <c r="F250" s="1">
        <f>IFERROR(__xludf.DUMMYFUNCTION("""COMPUTED_VALUE"""),81.84)</f>
        <v>81.84</v>
      </c>
      <c r="G250" s="4">
        <f>IFERROR(__xludf.DUMMYFUNCTION("""COMPUTED_VALUE"""),44642.66666666667)</f>
        <v>44642.66667</v>
      </c>
      <c r="H250" s="1">
        <f>IFERROR(__xludf.DUMMYFUNCTION("""COMPUTED_VALUE"""),164.09)</f>
        <v>164.09</v>
      </c>
      <c r="I250" s="5">
        <f t="shared" si="1"/>
        <v>0.008233621609</v>
      </c>
      <c r="K250" s="5">
        <f t="shared" si="2"/>
        <v>-0.0150299283</v>
      </c>
      <c r="L250" s="5">
        <f t="shared" si="3"/>
        <v>0.01576246334</v>
      </c>
      <c r="M250" s="5">
        <f t="shared" si="4"/>
        <v>0.01078676336</v>
      </c>
      <c r="Q250" s="5"/>
    </row>
    <row r="251">
      <c r="A251" s="4">
        <f>IFERROR(__xludf.DUMMYFUNCTION("""COMPUTED_VALUE"""),44643.66666666667)</f>
        <v>44643.66667</v>
      </c>
      <c r="B251" s="1">
        <f>IFERROR(__xludf.DUMMYFUNCTION("""COMPUTED_VALUE"""),170.21)</f>
        <v>170.21</v>
      </c>
      <c r="C251" s="4">
        <f>IFERROR(__xludf.DUMMYFUNCTION("""COMPUTED_VALUE"""),44643.66666666667)</f>
        <v>44643.66667</v>
      </c>
      <c r="D251" s="1">
        <f>IFERROR(__xludf.DUMMYFUNCTION("""COMPUTED_VALUE"""),299.49)</f>
        <v>299.49</v>
      </c>
      <c r="E251" s="4">
        <f>IFERROR(__xludf.DUMMYFUNCTION("""COMPUTED_VALUE"""),44643.66666666667)</f>
        <v>44643.66667</v>
      </c>
      <c r="F251" s="1">
        <f>IFERROR(__xludf.DUMMYFUNCTION("""COMPUTED_VALUE"""),83.13)</f>
        <v>83.13</v>
      </c>
      <c r="G251" s="4">
        <f>IFERROR(__xludf.DUMMYFUNCTION("""COMPUTED_VALUE"""),44643.66666666667)</f>
        <v>44643.66667</v>
      </c>
      <c r="H251" s="1">
        <f>IFERROR(__xludf.DUMMYFUNCTION("""COMPUTED_VALUE"""),165.86)</f>
        <v>165.86</v>
      </c>
      <c r="I251" s="5">
        <f t="shared" si="1"/>
        <v>0.02267786852</v>
      </c>
      <c r="K251" s="5">
        <f t="shared" si="2"/>
        <v>0.01539283449</v>
      </c>
      <c r="L251" s="5">
        <f t="shared" si="3"/>
        <v>0.003007337904</v>
      </c>
      <c r="M251" s="5">
        <f t="shared" si="4"/>
        <v>0.002652839744</v>
      </c>
      <c r="Q251" s="5"/>
    </row>
    <row r="252">
      <c r="A252" s="4">
        <f>IFERROR(__xludf.DUMMYFUNCTION("""COMPUTED_VALUE"""),44644.66666666667)</f>
        <v>44644.66667</v>
      </c>
      <c r="B252" s="1">
        <f>IFERROR(__xludf.DUMMYFUNCTION("""COMPUTED_VALUE"""),174.07)</f>
        <v>174.07</v>
      </c>
      <c r="C252" s="4">
        <f>IFERROR(__xludf.DUMMYFUNCTION("""COMPUTED_VALUE"""),44644.66666666667)</f>
        <v>44644.66667</v>
      </c>
      <c r="D252" s="1">
        <f>IFERROR(__xludf.DUMMYFUNCTION("""COMPUTED_VALUE"""),304.1)</f>
        <v>304.1</v>
      </c>
      <c r="E252" s="4">
        <f>IFERROR(__xludf.DUMMYFUNCTION("""COMPUTED_VALUE"""),44644.66666666667)</f>
        <v>44644.66667</v>
      </c>
      <c r="F252" s="1">
        <f>IFERROR(__xludf.DUMMYFUNCTION("""COMPUTED_VALUE"""),83.38)</f>
        <v>83.38</v>
      </c>
      <c r="G252" s="4">
        <f>IFERROR(__xludf.DUMMYFUNCTION("""COMPUTED_VALUE"""),44644.66666666667)</f>
        <v>44644.66667</v>
      </c>
      <c r="H252" s="1">
        <f>IFERROR(__xludf.DUMMYFUNCTION("""COMPUTED_VALUE"""),166.3)</f>
        <v>166.3</v>
      </c>
      <c r="I252" s="5">
        <f t="shared" si="1"/>
        <v>0.003734129948</v>
      </c>
      <c r="K252" s="5">
        <f t="shared" si="2"/>
        <v>-0.00138112463</v>
      </c>
      <c r="L252" s="5">
        <f t="shared" si="3"/>
        <v>0.02182777645</v>
      </c>
      <c r="M252" s="5">
        <f t="shared" si="4"/>
        <v>0.0180998196</v>
      </c>
      <c r="Q252" s="5"/>
    </row>
    <row r="253">
      <c r="A253" s="4">
        <f>IFERROR(__xludf.DUMMYFUNCTION("""COMPUTED_VALUE"""),44645.66666666667)</f>
        <v>44645.66667</v>
      </c>
      <c r="B253" s="1">
        <f>IFERROR(__xludf.DUMMYFUNCTION("""COMPUTED_VALUE"""),174.72)</f>
        <v>174.72</v>
      </c>
      <c r="C253" s="4">
        <f>IFERROR(__xludf.DUMMYFUNCTION("""COMPUTED_VALUE"""),44645.66666666667)</f>
        <v>44645.66667</v>
      </c>
      <c r="D253" s="1">
        <f>IFERROR(__xludf.DUMMYFUNCTION("""COMPUTED_VALUE"""),303.68)</f>
        <v>303.68</v>
      </c>
      <c r="E253" s="4">
        <f>IFERROR(__xludf.DUMMYFUNCTION("""COMPUTED_VALUE"""),44645.66666666667)</f>
        <v>44645.66667</v>
      </c>
      <c r="F253" s="1">
        <f>IFERROR(__xludf.DUMMYFUNCTION("""COMPUTED_VALUE"""),85.2)</f>
        <v>85.2</v>
      </c>
      <c r="G253" s="4">
        <f>IFERROR(__xludf.DUMMYFUNCTION("""COMPUTED_VALUE"""),44645.66666666667)</f>
        <v>44645.66667</v>
      </c>
      <c r="H253" s="1">
        <f>IFERROR(__xludf.DUMMYFUNCTION("""COMPUTED_VALUE"""),169.31)</f>
        <v>169.31</v>
      </c>
      <c r="I253" s="5">
        <f t="shared" si="1"/>
        <v>0.005036630037</v>
      </c>
      <c r="K253" s="5">
        <f t="shared" si="2"/>
        <v>0.02311643836</v>
      </c>
      <c r="L253" s="5">
        <f t="shared" si="3"/>
        <v>-0.02805164319</v>
      </c>
      <c r="M253" s="5">
        <f t="shared" si="4"/>
        <v>-0.017482724</v>
      </c>
      <c r="Q253" s="5"/>
    </row>
    <row r="254">
      <c r="A254" s="4">
        <f>IFERROR(__xludf.DUMMYFUNCTION("""COMPUTED_VALUE"""),44648.66666666667)</f>
        <v>44648.66667</v>
      </c>
      <c r="B254" s="1">
        <f>IFERROR(__xludf.DUMMYFUNCTION("""COMPUTED_VALUE"""),175.6)</f>
        <v>175.6</v>
      </c>
      <c r="C254" s="4">
        <f>IFERROR(__xludf.DUMMYFUNCTION("""COMPUTED_VALUE"""),44648.66666666667)</f>
        <v>44648.66667</v>
      </c>
      <c r="D254" s="1">
        <f>IFERROR(__xludf.DUMMYFUNCTION("""COMPUTED_VALUE"""),310.7)</f>
        <v>310.7</v>
      </c>
      <c r="E254" s="4">
        <f>IFERROR(__xludf.DUMMYFUNCTION("""COMPUTED_VALUE"""),44648.66666666667)</f>
        <v>44648.66667</v>
      </c>
      <c r="F254" s="1">
        <f>IFERROR(__xludf.DUMMYFUNCTION("""COMPUTED_VALUE"""),82.81)</f>
        <v>82.81</v>
      </c>
      <c r="G254" s="4">
        <f>IFERROR(__xludf.DUMMYFUNCTION("""COMPUTED_VALUE"""),44648.66666666667)</f>
        <v>44648.66667</v>
      </c>
      <c r="H254" s="1">
        <f>IFERROR(__xludf.DUMMYFUNCTION("""COMPUTED_VALUE"""),166.35)</f>
        <v>166.35</v>
      </c>
      <c r="I254" s="5">
        <f t="shared" si="1"/>
        <v>0.01913439636</v>
      </c>
      <c r="K254" s="5">
        <f t="shared" si="2"/>
        <v>0.01515931767</v>
      </c>
      <c r="L254" s="5">
        <f t="shared" si="3"/>
        <v>-0.005313367951</v>
      </c>
      <c r="M254" s="5">
        <f t="shared" si="4"/>
        <v>-0.01220318605</v>
      </c>
      <c r="Q254" s="5"/>
    </row>
    <row r="255">
      <c r="A255" s="4">
        <f>IFERROR(__xludf.DUMMYFUNCTION("""COMPUTED_VALUE"""),44649.66666666667)</f>
        <v>44649.66667</v>
      </c>
      <c r="B255" s="1">
        <f>IFERROR(__xludf.DUMMYFUNCTION("""COMPUTED_VALUE"""),178.96)</f>
        <v>178.96</v>
      </c>
      <c r="C255" s="4">
        <f>IFERROR(__xludf.DUMMYFUNCTION("""COMPUTED_VALUE"""),44649.66666666667)</f>
        <v>44649.66667</v>
      </c>
      <c r="D255" s="1">
        <f>IFERROR(__xludf.DUMMYFUNCTION("""COMPUTED_VALUE"""),315.41)</f>
        <v>315.41</v>
      </c>
      <c r="E255" s="4">
        <f>IFERROR(__xludf.DUMMYFUNCTION("""COMPUTED_VALUE"""),44649.66666666667)</f>
        <v>44649.66667</v>
      </c>
      <c r="F255" s="1">
        <f>IFERROR(__xludf.DUMMYFUNCTION("""COMPUTED_VALUE"""),82.37)</f>
        <v>82.37</v>
      </c>
      <c r="G255" s="4">
        <f>IFERROR(__xludf.DUMMYFUNCTION("""COMPUTED_VALUE"""),44649.66666666667)</f>
        <v>44649.66667</v>
      </c>
      <c r="H255" s="1">
        <f>IFERROR(__xludf.DUMMYFUNCTION("""COMPUTED_VALUE"""),164.32)</f>
        <v>164.32</v>
      </c>
      <c r="I255" s="5">
        <f t="shared" si="1"/>
        <v>-0.006649530621</v>
      </c>
      <c r="K255" s="5">
        <f t="shared" si="2"/>
        <v>-0.00491423861</v>
      </c>
      <c r="L255" s="5">
        <f t="shared" si="3"/>
        <v>0.01711788272</v>
      </c>
      <c r="M255" s="5">
        <f t="shared" si="4"/>
        <v>0.0070593963</v>
      </c>
      <c r="Q255" s="5"/>
    </row>
    <row r="256">
      <c r="A256" s="4">
        <f>IFERROR(__xludf.DUMMYFUNCTION("""COMPUTED_VALUE"""),44650.66666666667)</f>
        <v>44650.66667</v>
      </c>
      <c r="B256" s="1">
        <f>IFERROR(__xludf.DUMMYFUNCTION("""COMPUTED_VALUE"""),177.77)</f>
        <v>177.77</v>
      </c>
      <c r="C256" s="4">
        <f>IFERROR(__xludf.DUMMYFUNCTION("""COMPUTED_VALUE"""),44650.66666666667)</f>
        <v>44650.66667</v>
      </c>
      <c r="D256" s="1">
        <f>IFERROR(__xludf.DUMMYFUNCTION("""COMPUTED_VALUE"""),313.86)</f>
        <v>313.86</v>
      </c>
      <c r="E256" s="4">
        <f>IFERROR(__xludf.DUMMYFUNCTION("""COMPUTED_VALUE"""),44650.66666666667)</f>
        <v>44650.66667</v>
      </c>
      <c r="F256" s="1">
        <f>IFERROR(__xludf.DUMMYFUNCTION("""COMPUTED_VALUE"""),83.78)</f>
        <v>83.78</v>
      </c>
      <c r="G256" s="4">
        <f>IFERROR(__xludf.DUMMYFUNCTION("""COMPUTED_VALUE"""),44650.66666666667)</f>
        <v>44650.66667</v>
      </c>
      <c r="H256" s="1">
        <f>IFERROR(__xludf.DUMMYFUNCTION("""COMPUTED_VALUE"""),165.48)</f>
        <v>165.48</v>
      </c>
      <c r="I256" s="5">
        <f t="shared" si="1"/>
        <v>-0.01777577769</v>
      </c>
      <c r="K256" s="5">
        <f t="shared" si="2"/>
        <v>-0.0176830434</v>
      </c>
      <c r="L256" s="5">
        <f t="shared" si="3"/>
        <v>-0.01420386727</v>
      </c>
      <c r="M256" s="5">
        <f t="shared" si="4"/>
        <v>-0.01601401982</v>
      </c>
      <c r="Q256" s="5"/>
    </row>
    <row r="257">
      <c r="A257" s="4">
        <f>IFERROR(__xludf.DUMMYFUNCTION("""COMPUTED_VALUE"""),44651.66666666667)</f>
        <v>44651.66667</v>
      </c>
      <c r="B257" s="1">
        <f>IFERROR(__xludf.DUMMYFUNCTION("""COMPUTED_VALUE"""),174.61)</f>
        <v>174.61</v>
      </c>
      <c r="C257" s="4">
        <f>IFERROR(__xludf.DUMMYFUNCTION("""COMPUTED_VALUE"""),44651.66666666667)</f>
        <v>44651.66667</v>
      </c>
      <c r="D257" s="1">
        <f>IFERROR(__xludf.DUMMYFUNCTION("""COMPUTED_VALUE"""),308.31)</f>
        <v>308.31</v>
      </c>
      <c r="E257" s="4">
        <f>IFERROR(__xludf.DUMMYFUNCTION("""COMPUTED_VALUE"""),44651.66666666667)</f>
        <v>44651.66667</v>
      </c>
      <c r="F257" s="1">
        <f>IFERROR(__xludf.DUMMYFUNCTION("""COMPUTED_VALUE"""),82.59)</f>
        <v>82.59</v>
      </c>
      <c r="G257" s="4">
        <f>IFERROR(__xludf.DUMMYFUNCTION("""COMPUTED_VALUE"""),44651.66666666667)</f>
        <v>44651.66667</v>
      </c>
      <c r="H257" s="1">
        <f>IFERROR(__xludf.DUMMYFUNCTION("""COMPUTED_VALUE"""),162.83)</f>
        <v>162.83</v>
      </c>
      <c r="I257" s="5">
        <f t="shared" si="1"/>
        <v>-0.001718114656</v>
      </c>
      <c r="K257" s="5">
        <f t="shared" si="2"/>
        <v>0.003600272453</v>
      </c>
      <c r="L257" s="5">
        <f t="shared" si="3"/>
        <v>0.006417241797</v>
      </c>
      <c r="M257" s="5">
        <f t="shared" si="4"/>
        <v>0.008536510471</v>
      </c>
      <c r="Q257" s="5"/>
    </row>
    <row r="258">
      <c r="A258" s="4">
        <f>IFERROR(__xludf.DUMMYFUNCTION("""COMPUTED_VALUE"""),44652.66666666667)</f>
        <v>44652.66667</v>
      </c>
      <c r="B258" s="1">
        <f>IFERROR(__xludf.DUMMYFUNCTION("""COMPUTED_VALUE"""),174.31)</f>
        <v>174.31</v>
      </c>
      <c r="C258" s="4">
        <f>IFERROR(__xludf.DUMMYFUNCTION("""COMPUTED_VALUE"""),44652.66666666667)</f>
        <v>44652.66667</v>
      </c>
      <c r="D258" s="1">
        <f>IFERROR(__xludf.DUMMYFUNCTION("""COMPUTED_VALUE"""),309.42)</f>
        <v>309.42</v>
      </c>
      <c r="E258" s="4">
        <f>IFERROR(__xludf.DUMMYFUNCTION("""COMPUTED_VALUE"""),44652.66666666667)</f>
        <v>44652.66667</v>
      </c>
      <c r="F258" s="1">
        <f>IFERROR(__xludf.DUMMYFUNCTION("""COMPUTED_VALUE"""),83.12)</f>
        <v>83.12</v>
      </c>
      <c r="G258" s="4">
        <f>IFERROR(__xludf.DUMMYFUNCTION("""COMPUTED_VALUE"""),44652.66666666667)</f>
        <v>44652.66667</v>
      </c>
      <c r="H258" s="1">
        <f>IFERROR(__xludf.DUMMYFUNCTION("""COMPUTED_VALUE"""),164.22)</f>
        <v>164.22</v>
      </c>
      <c r="I258" s="5">
        <f t="shared" si="1"/>
        <v>0.02369341977</v>
      </c>
      <c r="K258" s="5">
        <f t="shared" si="2"/>
        <v>0.01793678495</v>
      </c>
      <c r="L258" s="5">
        <f t="shared" si="3"/>
        <v>0.0004812319538</v>
      </c>
      <c r="M258" s="5">
        <f t="shared" si="4"/>
        <v>0.0009134088418</v>
      </c>
      <c r="Q258" s="5"/>
    </row>
    <row r="259">
      <c r="A259" s="4">
        <f>IFERROR(__xludf.DUMMYFUNCTION("""COMPUTED_VALUE"""),44655.66666666667)</f>
        <v>44655.66667</v>
      </c>
      <c r="B259" s="1">
        <f>IFERROR(__xludf.DUMMYFUNCTION("""COMPUTED_VALUE"""),178.44)</f>
        <v>178.44</v>
      </c>
      <c r="C259" s="4">
        <f>IFERROR(__xludf.DUMMYFUNCTION("""COMPUTED_VALUE"""),44655.66666666667)</f>
        <v>44655.66667</v>
      </c>
      <c r="D259" s="1">
        <f>IFERROR(__xludf.DUMMYFUNCTION("""COMPUTED_VALUE"""),314.97)</f>
        <v>314.97</v>
      </c>
      <c r="E259" s="4">
        <f>IFERROR(__xludf.DUMMYFUNCTION("""COMPUTED_VALUE"""),44655.66666666667)</f>
        <v>44655.66667</v>
      </c>
      <c r="F259" s="1">
        <f>IFERROR(__xludf.DUMMYFUNCTION("""COMPUTED_VALUE"""),83.16)</f>
        <v>83.16</v>
      </c>
      <c r="G259" s="4">
        <f>IFERROR(__xludf.DUMMYFUNCTION("""COMPUTED_VALUE"""),44655.66666666667)</f>
        <v>44655.66667</v>
      </c>
      <c r="H259" s="1">
        <f>IFERROR(__xludf.DUMMYFUNCTION("""COMPUTED_VALUE"""),164.37)</f>
        <v>164.37</v>
      </c>
      <c r="I259" s="5">
        <f t="shared" si="1"/>
        <v>-0.01894194127</v>
      </c>
      <c r="K259" s="5">
        <f t="shared" si="2"/>
        <v>-0.01298536369</v>
      </c>
      <c r="L259" s="5">
        <f t="shared" si="3"/>
        <v>-0.005170755171</v>
      </c>
      <c r="M259" s="5">
        <f t="shared" si="4"/>
        <v>-0.006144673602</v>
      </c>
      <c r="Q259" s="5"/>
    </row>
    <row r="260">
      <c r="A260" s="4">
        <f>IFERROR(__xludf.DUMMYFUNCTION("""COMPUTED_VALUE"""),44656.66666666667)</f>
        <v>44656.66667</v>
      </c>
      <c r="B260" s="1">
        <f>IFERROR(__xludf.DUMMYFUNCTION("""COMPUTED_VALUE"""),175.06)</f>
        <v>175.06</v>
      </c>
      <c r="C260" s="4">
        <f>IFERROR(__xludf.DUMMYFUNCTION("""COMPUTED_VALUE"""),44656.66666666667)</f>
        <v>44656.66667</v>
      </c>
      <c r="D260" s="1">
        <f>IFERROR(__xludf.DUMMYFUNCTION("""COMPUTED_VALUE"""),310.88)</f>
        <v>310.88</v>
      </c>
      <c r="E260" s="4">
        <f>IFERROR(__xludf.DUMMYFUNCTION("""COMPUTED_VALUE"""),44656.66666666667)</f>
        <v>44656.66667</v>
      </c>
      <c r="F260" s="1">
        <f>IFERROR(__xludf.DUMMYFUNCTION("""COMPUTED_VALUE"""),82.73)</f>
        <v>82.73</v>
      </c>
      <c r="G260" s="4">
        <f>IFERROR(__xludf.DUMMYFUNCTION("""COMPUTED_VALUE"""),44656.66666666667)</f>
        <v>44656.66667</v>
      </c>
      <c r="H260" s="1">
        <f>IFERROR(__xludf.DUMMYFUNCTION("""COMPUTED_VALUE"""),163.36)</f>
        <v>163.36</v>
      </c>
      <c r="I260" s="5">
        <f t="shared" si="1"/>
        <v>-0.01845081686</v>
      </c>
      <c r="K260" s="5">
        <f t="shared" si="2"/>
        <v>-0.03660576428</v>
      </c>
      <c r="L260" s="5">
        <f t="shared" si="3"/>
        <v>0.01112051251</v>
      </c>
      <c r="M260" s="5">
        <f t="shared" si="4"/>
        <v>0.008876101861</v>
      </c>
      <c r="Q260" s="5"/>
    </row>
    <row r="261">
      <c r="A261" s="4">
        <f>IFERROR(__xludf.DUMMYFUNCTION("""COMPUTED_VALUE"""),44657.66666666667)</f>
        <v>44657.66667</v>
      </c>
      <c r="B261" s="1">
        <f>IFERROR(__xludf.DUMMYFUNCTION("""COMPUTED_VALUE"""),171.83)</f>
        <v>171.83</v>
      </c>
      <c r="C261" s="4">
        <f>IFERROR(__xludf.DUMMYFUNCTION("""COMPUTED_VALUE"""),44657.66666666667)</f>
        <v>44657.66667</v>
      </c>
      <c r="D261" s="1">
        <f>IFERROR(__xludf.DUMMYFUNCTION("""COMPUTED_VALUE"""),299.5)</f>
        <v>299.5</v>
      </c>
      <c r="E261" s="4">
        <f>IFERROR(__xludf.DUMMYFUNCTION("""COMPUTED_VALUE"""),44657.66666666667)</f>
        <v>44657.66667</v>
      </c>
      <c r="F261" s="1">
        <f>IFERROR(__xludf.DUMMYFUNCTION("""COMPUTED_VALUE"""),83.65)</f>
        <v>83.65</v>
      </c>
      <c r="G261" s="4">
        <f>IFERROR(__xludf.DUMMYFUNCTION("""COMPUTED_VALUE"""),44657.66666666667)</f>
        <v>44657.66667</v>
      </c>
      <c r="H261" s="1">
        <f>IFERROR(__xludf.DUMMYFUNCTION("""COMPUTED_VALUE"""),164.81)</f>
        <v>164.81</v>
      </c>
      <c r="I261" s="5">
        <f t="shared" si="1"/>
        <v>0.001804108712</v>
      </c>
      <c r="K261" s="5">
        <f t="shared" si="2"/>
        <v>0.006243739566</v>
      </c>
      <c r="L261" s="5">
        <f t="shared" si="3"/>
        <v>0.01673640167</v>
      </c>
      <c r="M261" s="5">
        <f t="shared" si="4"/>
        <v>0.01389478794</v>
      </c>
      <c r="Q261" s="5"/>
    </row>
    <row r="262">
      <c r="A262" s="4">
        <f>IFERROR(__xludf.DUMMYFUNCTION("""COMPUTED_VALUE"""),44658.66666666667)</f>
        <v>44658.66667</v>
      </c>
      <c r="B262" s="1">
        <f>IFERROR(__xludf.DUMMYFUNCTION("""COMPUTED_VALUE"""),172.14)</f>
        <v>172.14</v>
      </c>
      <c r="C262" s="4">
        <f>IFERROR(__xludf.DUMMYFUNCTION("""COMPUTED_VALUE"""),44658.66666666667)</f>
        <v>44658.66667</v>
      </c>
      <c r="D262" s="1">
        <f>IFERROR(__xludf.DUMMYFUNCTION("""COMPUTED_VALUE"""),301.37)</f>
        <v>301.37</v>
      </c>
      <c r="E262" s="4">
        <f>IFERROR(__xludf.DUMMYFUNCTION("""COMPUTED_VALUE"""),44658.66666666667)</f>
        <v>44658.66667</v>
      </c>
      <c r="F262" s="1">
        <f>IFERROR(__xludf.DUMMYFUNCTION("""COMPUTED_VALUE"""),85.05)</f>
        <v>85.05</v>
      </c>
      <c r="G262" s="4">
        <f>IFERROR(__xludf.DUMMYFUNCTION("""COMPUTED_VALUE"""),44658.66666666667)</f>
        <v>44658.66667</v>
      </c>
      <c r="H262" s="1">
        <f>IFERROR(__xludf.DUMMYFUNCTION("""COMPUTED_VALUE"""),167.1)</f>
        <v>167.1</v>
      </c>
      <c r="I262" s="5">
        <f t="shared" si="1"/>
        <v>-0.01190891135</v>
      </c>
      <c r="K262" s="5">
        <f t="shared" si="2"/>
        <v>-0.01459999336</v>
      </c>
      <c r="L262" s="5">
        <f t="shared" si="3"/>
        <v>0.02104644327</v>
      </c>
      <c r="M262" s="5">
        <f t="shared" si="4"/>
        <v>0.01693596649</v>
      </c>
      <c r="Q262" s="5"/>
    </row>
    <row r="263">
      <c r="A263" s="4">
        <f>IFERROR(__xludf.DUMMYFUNCTION("""COMPUTED_VALUE"""),44659.66666666667)</f>
        <v>44659.66667</v>
      </c>
      <c r="B263" s="1">
        <f>IFERROR(__xludf.DUMMYFUNCTION("""COMPUTED_VALUE"""),170.09)</f>
        <v>170.09</v>
      </c>
      <c r="C263" s="4">
        <f>IFERROR(__xludf.DUMMYFUNCTION("""COMPUTED_VALUE"""),44659.66666666667)</f>
        <v>44659.66667</v>
      </c>
      <c r="D263" s="1">
        <f>IFERROR(__xludf.DUMMYFUNCTION("""COMPUTED_VALUE"""),296.97)</f>
        <v>296.97</v>
      </c>
      <c r="E263" s="4">
        <f>IFERROR(__xludf.DUMMYFUNCTION("""COMPUTED_VALUE"""),44659.66666666667)</f>
        <v>44659.66667</v>
      </c>
      <c r="F263" s="1">
        <f>IFERROR(__xludf.DUMMYFUNCTION("""COMPUTED_VALUE"""),86.84)</f>
        <v>86.84</v>
      </c>
      <c r="G263" s="4">
        <f>IFERROR(__xludf.DUMMYFUNCTION("""COMPUTED_VALUE"""),44659.66666666667)</f>
        <v>44659.66667</v>
      </c>
      <c r="H263" s="1">
        <f>IFERROR(__xludf.DUMMYFUNCTION("""COMPUTED_VALUE"""),169.93)</f>
        <v>169.93</v>
      </c>
      <c r="I263" s="5">
        <f t="shared" si="1"/>
        <v>-0.02551590335</v>
      </c>
      <c r="K263" s="5">
        <f t="shared" si="2"/>
        <v>-0.03943159242</v>
      </c>
      <c r="L263" s="5">
        <f t="shared" si="3"/>
        <v>-0.03443113772</v>
      </c>
      <c r="M263" s="5">
        <f t="shared" si="4"/>
        <v>-0.02571647149</v>
      </c>
      <c r="Q263" s="5"/>
    </row>
    <row r="264">
      <c r="A264" s="4">
        <f>IFERROR(__xludf.DUMMYFUNCTION("""COMPUTED_VALUE"""),44662.66666666667)</f>
        <v>44662.66667</v>
      </c>
      <c r="B264" s="1">
        <f>IFERROR(__xludf.DUMMYFUNCTION("""COMPUTED_VALUE"""),165.75)</f>
        <v>165.75</v>
      </c>
      <c r="C264" s="4">
        <f>IFERROR(__xludf.DUMMYFUNCTION("""COMPUTED_VALUE"""),44662.66666666667)</f>
        <v>44662.66667</v>
      </c>
      <c r="D264" s="1">
        <f>IFERROR(__xludf.DUMMYFUNCTION("""COMPUTED_VALUE"""),285.26)</f>
        <v>285.26</v>
      </c>
      <c r="E264" s="4">
        <f>IFERROR(__xludf.DUMMYFUNCTION("""COMPUTED_VALUE"""),44662.66666666667)</f>
        <v>44662.66667</v>
      </c>
      <c r="F264" s="1">
        <f>IFERROR(__xludf.DUMMYFUNCTION("""COMPUTED_VALUE"""),83.85)</f>
        <v>83.85</v>
      </c>
      <c r="G264" s="4">
        <f>IFERROR(__xludf.DUMMYFUNCTION("""COMPUTED_VALUE"""),44662.66666666667)</f>
        <v>44662.66667</v>
      </c>
      <c r="H264" s="1">
        <f>IFERROR(__xludf.DUMMYFUNCTION("""COMPUTED_VALUE"""),165.56)</f>
        <v>165.56</v>
      </c>
      <c r="I264" s="5">
        <f t="shared" si="1"/>
        <v>0.01152337858</v>
      </c>
      <c r="K264" s="5">
        <f t="shared" si="2"/>
        <v>-0.01121783636</v>
      </c>
      <c r="L264" s="5">
        <f t="shared" si="3"/>
        <v>0.02087060227</v>
      </c>
      <c r="M264" s="5">
        <f t="shared" si="4"/>
        <v>0.02083836676</v>
      </c>
      <c r="Q264" s="5"/>
    </row>
    <row r="265">
      <c r="A265" s="4">
        <f>IFERROR(__xludf.DUMMYFUNCTION("""COMPUTED_VALUE"""),44663.66666666667)</f>
        <v>44663.66667</v>
      </c>
      <c r="B265" s="1">
        <f>IFERROR(__xludf.DUMMYFUNCTION("""COMPUTED_VALUE"""),167.66)</f>
        <v>167.66</v>
      </c>
      <c r="C265" s="4">
        <f>IFERROR(__xludf.DUMMYFUNCTION("""COMPUTED_VALUE"""),44663.66666666667)</f>
        <v>44663.66667</v>
      </c>
      <c r="D265" s="1">
        <f>IFERROR(__xludf.DUMMYFUNCTION("""COMPUTED_VALUE"""),282.06)</f>
        <v>282.06</v>
      </c>
      <c r="E265" s="4">
        <f>IFERROR(__xludf.DUMMYFUNCTION("""COMPUTED_VALUE"""),44663.66666666667)</f>
        <v>44663.66667</v>
      </c>
      <c r="F265" s="1">
        <f>IFERROR(__xludf.DUMMYFUNCTION("""COMPUTED_VALUE"""),85.6)</f>
        <v>85.6</v>
      </c>
      <c r="G265" s="4">
        <f>IFERROR(__xludf.DUMMYFUNCTION("""COMPUTED_VALUE"""),44663.66666666667)</f>
        <v>44663.66667</v>
      </c>
      <c r="H265" s="1">
        <f>IFERROR(__xludf.DUMMYFUNCTION("""COMPUTED_VALUE"""),169.01)</f>
        <v>169.01</v>
      </c>
      <c r="I265" s="5">
        <f t="shared" si="1"/>
        <v>0.01634259812</v>
      </c>
      <c r="K265" s="5">
        <f t="shared" si="2"/>
        <v>0.01971211799</v>
      </c>
      <c r="L265" s="5">
        <f t="shared" si="3"/>
        <v>0.01413551402</v>
      </c>
      <c r="M265" s="5">
        <f t="shared" si="4"/>
        <v>0.01573871369</v>
      </c>
      <c r="Q265" s="5"/>
    </row>
    <row r="266">
      <c r="A266" s="4">
        <f>IFERROR(__xludf.DUMMYFUNCTION("""COMPUTED_VALUE"""),44664.66666666667)</f>
        <v>44664.66667</v>
      </c>
      <c r="B266" s="1">
        <f>IFERROR(__xludf.DUMMYFUNCTION("""COMPUTED_VALUE"""),170.4)</f>
        <v>170.4</v>
      </c>
      <c r="C266" s="4">
        <f>IFERROR(__xludf.DUMMYFUNCTION("""COMPUTED_VALUE"""),44664.66666666667)</f>
        <v>44664.66667</v>
      </c>
      <c r="D266" s="1">
        <f>IFERROR(__xludf.DUMMYFUNCTION("""COMPUTED_VALUE"""),287.62)</f>
        <v>287.62</v>
      </c>
      <c r="E266" s="4">
        <f>IFERROR(__xludf.DUMMYFUNCTION("""COMPUTED_VALUE"""),44664.66666666667)</f>
        <v>44664.66667</v>
      </c>
      <c r="F266" s="1">
        <f>IFERROR(__xludf.DUMMYFUNCTION("""COMPUTED_VALUE"""),86.81)</f>
        <v>86.81</v>
      </c>
      <c r="G266" s="4">
        <f>IFERROR(__xludf.DUMMYFUNCTION("""COMPUTED_VALUE"""),44664.66666666667)</f>
        <v>44664.66667</v>
      </c>
      <c r="H266" s="1">
        <f>IFERROR(__xludf.DUMMYFUNCTION("""COMPUTED_VALUE"""),171.67)</f>
        <v>171.67</v>
      </c>
      <c r="I266" s="5">
        <f t="shared" si="1"/>
        <v>-0.02998826291</v>
      </c>
      <c r="K266" s="5">
        <f t="shared" si="2"/>
        <v>-0.0270843474</v>
      </c>
      <c r="L266" s="5">
        <f t="shared" si="3"/>
        <v>0.01174979841</v>
      </c>
      <c r="M266" s="5">
        <f t="shared" si="4"/>
        <v>-0.0004660103687</v>
      </c>
      <c r="Q266" s="5"/>
    </row>
    <row r="267">
      <c r="A267" s="4">
        <f>IFERROR(__xludf.DUMMYFUNCTION("""COMPUTED_VALUE"""),44665.66666666667)</f>
        <v>44665.66667</v>
      </c>
      <c r="B267" s="1">
        <f>IFERROR(__xludf.DUMMYFUNCTION("""COMPUTED_VALUE"""),165.29)</f>
        <v>165.29</v>
      </c>
      <c r="C267" s="4">
        <f>IFERROR(__xludf.DUMMYFUNCTION("""COMPUTED_VALUE"""),44665.66666666667)</f>
        <v>44665.66667</v>
      </c>
      <c r="D267" s="1">
        <f>IFERROR(__xludf.DUMMYFUNCTION("""COMPUTED_VALUE"""),279.83)</f>
        <v>279.83</v>
      </c>
      <c r="E267" s="4">
        <f>IFERROR(__xludf.DUMMYFUNCTION("""COMPUTED_VALUE"""),44665.66666666667)</f>
        <v>44665.66667</v>
      </c>
      <c r="F267" s="1">
        <f>IFERROR(__xludf.DUMMYFUNCTION("""COMPUTED_VALUE"""),87.83)</f>
        <v>87.83</v>
      </c>
      <c r="G267" s="4">
        <f>IFERROR(__xludf.DUMMYFUNCTION("""COMPUTED_VALUE"""),44665.66666666667)</f>
        <v>44665.66667</v>
      </c>
      <c r="H267" s="1">
        <f>IFERROR(__xludf.DUMMYFUNCTION("""COMPUTED_VALUE"""),171.59)</f>
        <v>171.59</v>
      </c>
      <c r="I267" s="5">
        <f t="shared" si="1"/>
        <v>-0.001330994011</v>
      </c>
      <c r="K267" s="5">
        <f t="shared" si="2"/>
        <v>0.002465782797</v>
      </c>
      <c r="L267" s="5">
        <f t="shared" si="3"/>
        <v>0.00819765456</v>
      </c>
      <c r="M267" s="5">
        <f t="shared" si="4"/>
        <v>0.01340404452</v>
      </c>
      <c r="Q267" s="5"/>
    </row>
    <row r="268">
      <c r="A268" s="4">
        <f>IFERROR(__xludf.DUMMYFUNCTION("""COMPUTED_VALUE"""),44669.66666666667)</f>
        <v>44669.66667</v>
      </c>
      <c r="B268" s="1">
        <f>IFERROR(__xludf.DUMMYFUNCTION("""COMPUTED_VALUE"""),165.07)</f>
        <v>165.07</v>
      </c>
      <c r="C268" s="4">
        <f>IFERROR(__xludf.DUMMYFUNCTION("""COMPUTED_VALUE"""),44669.66666666667)</f>
        <v>44669.66667</v>
      </c>
      <c r="D268" s="1">
        <f>IFERROR(__xludf.DUMMYFUNCTION("""COMPUTED_VALUE"""),280.52)</f>
        <v>280.52</v>
      </c>
      <c r="E268" s="4">
        <f>IFERROR(__xludf.DUMMYFUNCTION("""COMPUTED_VALUE"""),44669.66666666667)</f>
        <v>44669.66667</v>
      </c>
      <c r="F268" s="1">
        <f>IFERROR(__xludf.DUMMYFUNCTION("""COMPUTED_VALUE"""),88.55)</f>
        <v>88.55</v>
      </c>
      <c r="G268" s="4">
        <f>IFERROR(__xludf.DUMMYFUNCTION("""COMPUTED_VALUE"""),44669.66666666667)</f>
        <v>44669.66667</v>
      </c>
      <c r="H268" s="1">
        <f>IFERROR(__xludf.DUMMYFUNCTION("""COMPUTED_VALUE"""),173.89)</f>
        <v>173.89</v>
      </c>
      <c r="I268" s="5">
        <f t="shared" si="1"/>
        <v>0.01411522384</v>
      </c>
      <c r="K268" s="5">
        <f t="shared" si="2"/>
        <v>0.01703978326</v>
      </c>
      <c r="L268" s="5">
        <f t="shared" si="3"/>
        <v>-0.008921513269</v>
      </c>
      <c r="M268" s="5">
        <f t="shared" si="4"/>
        <v>-0.01184656967</v>
      </c>
      <c r="Q268" s="5"/>
    </row>
    <row r="269">
      <c r="A269" s="4">
        <f>IFERROR(__xludf.DUMMYFUNCTION("""COMPUTED_VALUE"""),44670.66666666667)</f>
        <v>44670.66667</v>
      </c>
      <c r="B269" s="1">
        <f>IFERROR(__xludf.DUMMYFUNCTION("""COMPUTED_VALUE"""),167.4)</f>
        <v>167.4</v>
      </c>
      <c r="C269" s="4">
        <f>IFERROR(__xludf.DUMMYFUNCTION("""COMPUTED_VALUE"""),44670.66666666667)</f>
        <v>44670.66667</v>
      </c>
      <c r="D269" s="1">
        <f>IFERROR(__xludf.DUMMYFUNCTION("""COMPUTED_VALUE"""),285.3)</f>
        <v>285.3</v>
      </c>
      <c r="E269" s="4">
        <f>IFERROR(__xludf.DUMMYFUNCTION("""COMPUTED_VALUE"""),44670.66666666667)</f>
        <v>44670.66667</v>
      </c>
      <c r="F269" s="1">
        <f>IFERROR(__xludf.DUMMYFUNCTION("""COMPUTED_VALUE"""),87.76)</f>
        <v>87.76</v>
      </c>
      <c r="G269" s="4">
        <f>IFERROR(__xludf.DUMMYFUNCTION("""COMPUTED_VALUE"""),44670.66666666667)</f>
        <v>44670.66667</v>
      </c>
      <c r="H269" s="1">
        <f>IFERROR(__xludf.DUMMYFUNCTION("""COMPUTED_VALUE"""),171.83)</f>
        <v>171.83</v>
      </c>
      <c r="I269" s="5">
        <f t="shared" si="1"/>
        <v>-0.001015531661</v>
      </c>
      <c r="K269" s="5">
        <f t="shared" si="2"/>
        <v>0.003715387312</v>
      </c>
      <c r="L269" s="5">
        <f t="shared" si="3"/>
        <v>0.002278942571</v>
      </c>
      <c r="M269" s="5">
        <f t="shared" si="4"/>
        <v>0.004073793866</v>
      </c>
      <c r="Q269" s="5"/>
    </row>
    <row r="270">
      <c r="A270" s="4">
        <f>IFERROR(__xludf.DUMMYFUNCTION("""COMPUTED_VALUE"""),44671.66666666667)</f>
        <v>44671.66667</v>
      </c>
      <c r="B270" s="1">
        <f>IFERROR(__xludf.DUMMYFUNCTION("""COMPUTED_VALUE"""),167.23)</f>
        <v>167.23</v>
      </c>
      <c r="C270" s="4">
        <f>IFERROR(__xludf.DUMMYFUNCTION("""COMPUTED_VALUE"""),44671.66666666667)</f>
        <v>44671.66667</v>
      </c>
      <c r="D270" s="1">
        <f>IFERROR(__xludf.DUMMYFUNCTION("""COMPUTED_VALUE"""),286.36)</f>
        <v>286.36</v>
      </c>
      <c r="E270" s="4">
        <f>IFERROR(__xludf.DUMMYFUNCTION("""COMPUTED_VALUE"""),44671.66666666667)</f>
        <v>44671.66667</v>
      </c>
      <c r="F270" s="1">
        <f>IFERROR(__xludf.DUMMYFUNCTION("""COMPUTED_VALUE"""),87.96)</f>
        <v>87.96</v>
      </c>
      <c r="G270" s="4">
        <f>IFERROR(__xludf.DUMMYFUNCTION("""COMPUTED_VALUE"""),44671.66666666667)</f>
        <v>44671.66667</v>
      </c>
      <c r="H270" s="1">
        <f>IFERROR(__xludf.DUMMYFUNCTION("""COMPUTED_VALUE"""),172.53)</f>
        <v>172.53</v>
      </c>
      <c r="I270" s="5">
        <f t="shared" si="1"/>
        <v>-0.004843628536</v>
      </c>
      <c r="K270" s="5">
        <f t="shared" si="2"/>
        <v>-0.01938119849</v>
      </c>
      <c r="L270" s="5">
        <f t="shared" si="3"/>
        <v>-0.01057298772</v>
      </c>
      <c r="M270" s="5">
        <f t="shared" si="4"/>
        <v>-0.04607894279</v>
      </c>
      <c r="Q270" s="5"/>
    </row>
    <row r="271">
      <c r="A271" s="4">
        <f>IFERROR(__xludf.DUMMYFUNCTION("""COMPUTED_VALUE"""),44672.66666666667)</f>
        <v>44672.66667</v>
      </c>
      <c r="B271" s="1">
        <f>IFERROR(__xludf.DUMMYFUNCTION("""COMPUTED_VALUE"""),166.42)</f>
        <v>166.42</v>
      </c>
      <c r="C271" s="4">
        <f>IFERROR(__xludf.DUMMYFUNCTION("""COMPUTED_VALUE"""),44672.66666666667)</f>
        <v>44672.66667</v>
      </c>
      <c r="D271" s="1">
        <f>IFERROR(__xludf.DUMMYFUNCTION("""COMPUTED_VALUE"""),280.81)</f>
        <v>280.81</v>
      </c>
      <c r="E271" s="4">
        <f>IFERROR(__xludf.DUMMYFUNCTION("""COMPUTED_VALUE"""),44672.66666666667)</f>
        <v>44672.66667</v>
      </c>
      <c r="F271" s="1">
        <f>IFERROR(__xludf.DUMMYFUNCTION("""COMPUTED_VALUE"""),87.03)</f>
        <v>87.03</v>
      </c>
      <c r="G271" s="4">
        <f>IFERROR(__xludf.DUMMYFUNCTION("""COMPUTED_VALUE"""),44672.66666666667)</f>
        <v>44672.66667</v>
      </c>
      <c r="H271" s="1">
        <f>IFERROR(__xludf.DUMMYFUNCTION("""COMPUTED_VALUE"""),164.58)</f>
        <v>164.58</v>
      </c>
      <c r="I271" s="5">
        <f t="shared" si="1"/>
        <v>-0.02782117534</v>
      </c>
      <c r="K271" s="5">
        <f t="shared" si="2"/>
        <v>-0.0241444393</v>
      </c>
      <c r="L271" s="5">
        <f t="shared" si="3"/>
        <v>-0.02183155234</v>
      </c>
      <c r="M271" s="5">
        <f t="shared" si="4"/>
        <v>-0.02205614291</v>
      </c>
      <c r="Q271" s="5"/>
    </row>
    <row r="272">
      <c r="A272" s="4">
        <f>IFERROR(__xludf.DUMMYFUNCTION("""COMPUTED_VALUE"""),44673.66666666667)</f>
        <v>44673.66667</v>
      </c>
      <c r="B272" s="1">
        <f>IFERROR(__xludf.DUMMYFUNCTION("""COMPUTED_VALUE"""),161.79)</f>
        <v>161.79</v>
      </c>
      <c r="C272" s="4">
        <f>IFERROR(__xludf.DUMMYFUNCTION("""COMPUTED_VALUE"""),44673.66666666667)</f>
        <v>44673.66667</v>
      </c>
      <c r="D272" s="1">
        <f>IFERROR(__xludf.DUMMYFUNCTION("""COMPUTED_VALUE"""),274.03)</f>
        <v>274.03</v>
      </c>
      <c r="E272" s="4">
        <f>IFERROR(__xludf.DUMMYFUNCTION("""COMPUTED_VALUE"""),44673.66666666667)</f>
        <v>44673.66667</v>
      </c>
      <c r="F272" s="1">
        <f>IFERROR(__xludf.DUMMYFUNCTION("""COMPUTED_VALUE"""),85.13)</f>
        <v>85.13</v>
      </c>
      <c r="G272" s="4">
        <f>IFERROR(__xludf.DUMMYFUNCTION("""COMPUTED_VALUE"""),44673.66666666667)</f>
        <v>44673.66667</v>
      </c>
      <c r="H272" s="1">
        <f>IFERROR(__xludf.DUMMYFUNCTION("""COMPUTED_VALUE"""),160.95)</f>
        <v>160.95</v>
      </c>
      <c r="I272" s="5">
        <f t="shared" si="1"/>
        <v>0.006737128376</v>
      </c>
      <c r="K272" s="5">
        <f t="shared" si="2"/>
        <v>0.0244133854</v>
      </c>
      <c r="L272" s="5">
        <f t="shared" si="3"/>
        <v>-0.0337131446</v>
      </c>
      <c r="M272" s="5">
        <f t="shared" si="4"/>
        <v>-0.02149735943</v>
      </c>
      <c r="Q272" s="5"/>
    </row>
    <row r="273">
      <c r="A273" s="4">
        <f>IFERROR(__xludf.DUMMYFUNCTION("""COMPUTED_VALUE"""),44676.66666666667)</f>
        <v>44676.66667</v>
      </c>
      <c r="B273" s="1">
        <f>IFERROR(__xludf.DUMMYFUNCTION("""COMPUTED_VALUE"""),162.88)</f>
        <v>162.88</v>
      </c>
      <c r="C273" s="4">
        <f>IFERROR(__xludf.DUMMYFUNCTION("""COMPUTED_VALUE"""),44676.66666666667)</f>
        <v>44676.66667</v>
      </c>
      <c r="D273" s="1">
        <f>IFERROR(__xludf.DUMMYFUNCTION("""COMPUTED_VALUE"""),280.72)</f>
        <v>280.72</v>
      </c>
      <c r="E273" s="4">
        <f>IFERROR(__xludf.DUMMYFUNCTION("""COMPUTED_VALUE"""),44676.66666666667)</f>
        <v>44676.66667</v>
      </c>
      <c r="F273" s="1">
        <f>IFERROR(__xludf.DUMMYFUNCTION("""COMPUTED_VALUE"""),82.26)</f>
        <v>82.26</v>
      </c>
      <c r="G273" s="4">
        <f>IFERROR(__xludf.DUMMYFUNCTION("""COMPUTED_VALUE"""),44676.66666666667)</f>
        <v>44676.66667</v>
      </c>
      <c r="H273" s="1">
        <f>IFERROR(__xludf.DUMMYFUNCTION("""COMPUTED_VALUE"""),157.49)</f>
        <v>157.49</v>
      </c>
      <c r="I273" s="5">
        <f t="shared" si="1"/>
        <v>-0.0373280943</v>
      </c>
      <c r="K273" s="5">
        <f t="shared" si="2"/>
        <v>-0.03740381875</v>
      </c>
      <c r="L273" s="5">
        <f t="shared" si="3"/>
        <v>0.0003646973012</v>
      </c>
      <c r="M273" s="5">
        <f t="shared" si="4"/>
        <v>-0.006095625119</v>
      </c>
      <c r="Q273" s="5"/>
    </row>
    <row r="274">
      <c r="A274" s="4">
        <f>IFERROR(__xludf.DUMMYFUNCTION("""COMPUTED_VALUE"""),44677.66666666667)</f>
        <v>44677.66667</v>
      </c>
      <c r="B274" s="1">
        <f>IFERROR(__xludf.DUMMYFUNCTION("""COMPUTED_VALUE"""),156.8)</f>
        <v>156.8</v>
      </c>
      <c r="C274" s="4">
        <f>IFERROR(__xludf.DUMMYFUNCTION("""COMPUTED_VALUE"""),44677.66666666667)</f>
        <v>44677.66667</v>
      </c>
      <c r="D274" s="1">
        <f>IFERROR(__xludf.DUMMYFUNCTION("""COMPUTED_VALUE"""),270.22)</f>
        <v>270.22</v>
      </c>
      <c r="E274" s="4">
        <f>IFERROR(__xludf.DUMMYFUNCTION("""COMPUTED_VALUE"""),44677.66666666667)</f>
        <v>44677.66667</v>
      </c>
      <c r="F274" s="1">
        <f>IFERROR(__xludf.DUMMYFUNCTION("""COMPUTED_VALUE"""),82.29)</f>
        <v>82.29</v>
      </c>
      <c r="G274" s="4">
        <f>IFERROR(__xludf.DUMMYFUNCTION("""COMPUTED_VALUE"""),44677.66666666667)</f>
        <v>44677.66667</v>
      </c>
      <c r="H274" s="1">
        <f>IFERROR(__xludf.DUMMYFUNCTION("""COMPUTED_VALUE"""),156.53)</f>
        <v>156.53</v>
      </c>
      <c r="I274" s="5">
        <f t="shared" si="1"/>
        <v>-0.001466836735</v>
      </c>
      <c r="K274" s="5">
        <f t="shared" si="2"/>
        <v>0.04810894826</v>
      </c>
      <c r="L274" s="5">
        <f t="shared" si="3"/>
        <v>0.02855754041</v>
      </c>
      <c r="M274" s="5">
        <f t="shared" si="4"/>
        <v>-0.001852679997</v>
      </c>
      <c r="Q274" s="5"/>
    </row>
    <row r="275">
      <c r="A275" s="4">
        <f>IFERROR(__xludf.DUMMYFUNCTION("""COMPUTED_VALUE"""),44678.66666666667)</f>
        <v>44678.66667</v>
      </c>
      <c r="B275" s="1">
        <f>IFERROR(__xludf.DUMMYFUNCTION("""COMPUTED_VALUE"""),156.57)</f>
        <v>156.57</v>
      </c>
      <c r="C275" s="4">
        <f>IFERROR(__xludf.DUMMYFUNCTION("""COMPUTED_VALUE"""),44678.66666666667)</f>
        <v>44678.66667</v>
      </c>
      <c r="D275" s="1">
        <f>IFERROR(__xludf.DUMMYFUNCTION("""COMPUTED_VALUE"""),283.22)</f>
        <v>283.22</v>
      </c>
      <c r="E275" s="4">
        <f>IFERROR(__xludf.DUMMYFUNCTION("""COMPUTED_VALUE"""),44678.66666666667)</f>
        <v>44678.66667</v>
      </c>
      <c r="F275" s="1">
        <f>IFERROR(__xludf.DUMMYFUNCTION("""COMPUTED_VALUE"""),84.64)</f>
        <v>84.64</v>
      </c>
      <c r="G275" s="4">
        <f>IFERROR(__xludf.DUMMYFUNCTION("""COMPUTED_VALUE"""),44678.66666666667)</f>
        <v>44678.66667</v>
      </c>
      <c r="H275" s="1">
        <f>IFERROR(__xludf.DUMMYFUNCTION("""COMPUTED_VALUE"""),156.24)</f>
        <v>156.24</v>
      </c>
      <c r="I275" s="5">
        <f t="shared" si="1"/>
        <v>0.04515552149</v>
      </c>
      <c r="K275" s="5">
        <f t="shared" si="2"/>
        <v>0.02263258244</v>
      </c>
      <c r="L275" s="5">
        <f t="shared" si="3"/>
        <v>0.03024574669</v>
      </c>
      <c r="M275" s="5">
        <f t="shared" si="4"/>
        <v>0.03552227343</v>
      </c>
      <c r="Q275" s="5"/>
    </row>
    <row r="276">
      <c r="A276" s="4">
        <f>IFERROR(__xludf.DUMMYFUNCTION("""COMPUTED_VALUE"""),44679.66666666667)</f>
        <v>44679.66667</v>
      </c>
      <c r="B276" s="1">
        <f>IFERROR(__xludf.DUMMYFUNCTION("""COMPUTED_VALUE"""),163.64)</f>
        <v>163.64</v>
      </c>
      <c r="C276" s="4">
        <f>IFERROR(__xludf.DUMMYFUNCTION("""COMPUTED_VALUE"""),44679.66666666667)</f>
        <v>44679.66667</v>
      </c>
      <c r="D276" s="1">
        <f>IFERROR(__xludf.DUMMYFUNCTION("""COMPUTED_VALUE"""),289.63)</f>
        <v>289.63</v>
      </c>
      <c r="E276" s="4">
        <f>IFERROR(__xludf.DUMMYFUNCTION("""COMPUTED_VALUE"""),44679.66666666667)</f>
        <v>44679.66667</v>
      </c>
      <c r="F276" s="1">
        <f>IFERROR(__xludf.DUMMYFUNCTION("""COMPUTED_VALUE"""),87.2)</f>
        <v>87.2</v>
      </c>
      <c r="G276" s="4">
        <f>IFERROR(__xludf.DUMMYFUNCTION("""COMPUTED_VALUE"""),44679.66666666667)</f>
        <v>44679.66667</v>
      </c>
      <c r="H276" s="1">
        <f>IFERROR(__xludf.DUMMYFUNCTION("""COMPUTED_VALUE"""),161.79)</f>
        <v>161.79</v>
      </c>
      <c r="I276" s="5">
        <f t="shared" si="1"/>
        <v>-0.03660474212</v>
      </c>
      <c r="K276" s="5">
        <f t="shared" si="2"/>
        <v>-0.04181196699</v>
      </c>
      <c r="L276" s="5">
        <f t="shared" si="3"/>
        <v>-0.02236238532</v>
      </c>
      <c r="M276" s="5">
        <f t="shared" si="4"/>
        <v>-0.03164596081</v>
      </c>
      <c r="Q276" s="5"/>
    </row>
    <row r="277">
      <c r="A277" s="4">
        <f>IFERROR(__xludf.DUMMYFUNCTION("""COMPUTED_VALUE"""),44680.66666666667)</f>
        <v>44680.66667</v>
      </c>
      <c r="B277" s="1">
        <f>IFERROR(__xludf.DUMMYFUNCTION("""COMPUTED_VALUE"""),157.65)</f>
        <v>157.65</v>
      </c>
      <c r="C277" s="4">
        <f>IFERROR(__xludf.DUMMYFUNCTION("""COMPUTED_VALUE"""),44680.66666666667)</f>
        <v>44680.66667</v>
      </c>
      <c r="D277" s="1">
        <f>IFERROR(__xludf.DUMMYFUNCTION("""COMPUTED_VALUE"""),277.52)</f>
        <v>277.52</v>
      </c>
      <c r="E277" s="4">
        <f>IFERROR(__xludf.DUMMYFUNCTION("""COMPUTED_VALUE"""),44680.66666666667)</f>
        <v>44680.66667</v>
      </c>
      <c r="F277" s="1">
        <f>IFERROR(__xludf.DUMMYFUNCTION("""COMPUTED_VALUE"""),85.25)</f>
        <v>85.25</v>
      </c>
      <c r="G277" s="4">
        <f>IFERROR(__xludf.DUMMYFUNCTION("""COMPUTED_VALUE"""),44680.66666666667)</f>
        <v>44680.66667</v>
      </c>
      <c r="H277" s="1">
        <f>IFERROR(__xludf.DUMMYFUNCTION("""COMPUTED_VALUE"""),156.67)</f>
        <v>156.67</v>
      </c>
      <c r="I277" s="5">
        <f t="shared" si="1"/>
        <v>0.001966381224</v>
      </c>
      <c r="K277" s="5">
        <f t="shared" si="2"/>
        <v>0.02504324013</v>
      </c>
      <c r="L277" s="5">
        <f t="shared" si="3"/>
        <v>0.01360703812</v>
      </c>
      <c r="M277" s="5">
        <f t="shared" si="4"/>
        <v>0.01965915619</v>
      </c>
      <c r="Q277" s="5"/>
    </row>
    <row r="278">
      <c r="A278" s="4">
        <f>IFERROR(__xludf.DUMMYFUNCTION("""COMPUTED_VALUE"""),44683.66666666667)</f>
        <v>44683.66667</v>
      </c>
      <c r="B278" s="1">
        <f>IFERROR(__xludf.DUMMYFUNCTION("""COMPUTED_VALUE"""),157.96)</f>
        <v>157.96</v>
      </c>
      <c r="C278" s="4">
        <f>IFERROR(__xludf.DUMMYFUNCTION("""COMPUTED_VALUE"""),44683.66666666667)</f>
        <v>44683.66667</v>
      </c>
      <c r="D278" s="1">
        <f>IFERROR(__xludf.DUMMYFUNCTION("""COMPUTED_VALUE"""),284.47)</f>
        <v>284.47</v>
      </c>
      <c r="E278" s="4">
        <f>IFERROR(__xludf.DUMMYFUNCTION("""COMPUTED_VALUE"""),44683.66666666667)</f>
        <v>44683.66667</v>
      </c>
      <c r="F278" s="1">
        <f>IFERROR(__xludf.DUMMYFUNCTION("""COMPUTED_VALUE"""),86.41)</f>
        <v>86.41</v>
      </c>
      <c r="G278" s="4">
        <f>IFERROR(__xludf.DUMMYFUNCTION("""COMPUTED_VALUE"""),44683.66666666667)</f>
        <v>44683.66667</v>
      </c>
      <c r="H278" s="1">
        <f>IFERROR(__xludf.DUMMYFUNCTION("""COMPUTED_VALUE"""),159.75)</f>
        <v>159.75</v>
      </c>
      <c r="I278" s="5">
        <f t="shared" si="1"/>
        <v>0.009622689288</v>
      </c>
      <c r="K278" s="5">
        <f t="shared" si="2"/>
        <v>-0.009456181671</v>
      </c>
      <c r="L278" s="5">
        <f t="shared" si="3"/>
        <v>0.02059946765</v>
      </c>
      <c r="M278" s="5">
        <f t="shared" si="4"/>
        <v>0.01715179969</v>
      </c>
      <c r="Q278" s="5"/>
    </row>
    <row r="279">
      <c r="A279" s="4">
        <f>IFERROR(__xludf.DUMMYFUNCTION("""COMPUTED_VALUE"""),44684.66666666667)</f>
        <v>44684.66667</v>
      </c>
      <c r="B279" s="1">
        <f>IFERROR(__xludf.DUMMYFUNCTION("""COMPUTED_VALUE"""),159.48)</f>
        <v>159.48</v>
      </c>
      <c r="C279" s="4">
        <f>IFERROR(__xludf.DUMMYFUNCTION("""COMPUTED_VALUE"""),44684.66666666667)</f>
        <v>44684.66667</v>
      </c>
      <c r="D279" s="1">
        <f>IFERROR(__xludf.DUMMYFUNCTION("""COMPUTED_VALUE"""),281.78)</f>
        <v>281.78</v>
      </c>
      <c r="E279" s="4">
        <f>IFERROR(__xludf.DUMMYFUNCTION("""COMPUTED_VALUE"""),44684.66666666667)</f>
        <v>44684.66667</v>
      </c>
      <c r="F279" s="1">
        <f>IFERROR(__xludf.DUMMYFUNCTION("""COMPUTED_VALUE"""),88.19)</f>
        <v>88.19</v>
      </c>
      <c r="G279" s="4">
        <f>IFERROR(__xludf.DUMMYFUNCTION("""COMPUTED_VALUE"""),44684.66666666667)</f>
        <v>44684.66667</v>
      </c>
      <c r="H279" s="1">
        <f>IFERROR(__xludf.DUMMYFUNCTION("""COMPUTED_VALUE"""),162.49)</f>
        <v>162.49</v>
      </c>
      <c r="I279" s="5">
        <f t="shared" si="1"/>
        <v>0.0410082769</v>
      </c>
      <c r="K279" s="5">
        <f t="shared" si="2"/>
        <v>0.02910071687</v>
      </c>
      <c r="L279" s="5">
        <f t="shared" si="3"/>
        <v>0.03980043089</v>
      </c>
      <c r="M279" s="5">
        <f t="shared" si="4"/>
        <v>0.03138654686</v>
      </c>
      <c r="Q279" s="5"/>
    </row>
    <row r="280">
      <c r="A280" s="4">
        <f>IFERROR(__xludf.DUMMYFUNCTION("""COMPUTED_VALUE"""),44685.66666666667)</f>
        <v>44685.66667</v>
      </c>
      <c r="B280" s="1">
        <f>IFERROR(__xludf.DUMMYFUNCTION("""COMPUTED_VALUE"""),166.02)</f>
        <v>166.02</v>
      </c>
      <c r="C280" s="4">
        <f>IFERROR(__xludf.DUMMYFUNCTION("""COMPUTED_VALUE"""),44685.66666666667)</f>
        <v>44685.66667</v>
      </c>
      <c r="D280" s="1">
        <f>IFERROR(__xludf.DUMMYFUNCTION("""COMPUTED_VALUE"""),289.98)</f>
        <v>289.98</v>
      </c>
      <c r="E280" s="4">
        <f>IFERROR(__xludf.DUMMYFUNCTION("""COMPUTED_VALUE"""),44685.66666666667)</f>
        <v>44685.66667</v>
      </c>
      <c r="F280" s="1">
        <f>IFERROR(__xludf.DUMMYFUNCTION("""COMPUTED_VALUE"""),91.7)</f>
        <v>91.7</v>
      </c>
      <c r="G280" s="4">
        <f>IFERROR(__xludf.DUMMYFUNCTION("""COMPUTED_VALUE"""),44685.66666666667)</f>
        <v>44685.66667</v>
      </c>
      <c r="H280" s="1">
        <f>IFERROR(__xludf.DUMMYFUNCTION("""COMPUTED_VALUE"""),167.59)</f>
        <v>167.59</v>
      </c>
      <c r="I280" s="5">
        <f t="shared" si="1"/>
        <v>-0.05571617877</v>
      </c>
      <c r="K280" s="5">
        <f t="shared" si="2"/>
        <v>-0.04355472791</v>
      </c>
      <c r="L280" s="5">
        <f t="shared" si="3"/>
        <v>-0.01515812432</v>
      </c>
      <c r="M280" s="5">
        <f t="shared" si="4"/>
        <v>-0.00793603437</v>
      </c>
      <c r="Q280" s="5"/>
    </row>
    <row r="281">
      <c r="A281" s="4">
        <f>IFERROR(__xludf.DUMMYFUNCTION("""COMPUTED_VALUE"""),44686.66666666667)</f>
        <v>44686.66667</v>
      </c>
      <c r="B281" s="1">
        <f>IFERROR(__xludf.DUMMYFUNCTION("""COMPUTED_VALUE"""),156.77)</f>
        <v>156.77</v>
      </c>
      <c r="C281" s="4">
        <f>IFERROR(__xludf.DUMMYFUNCTION("""COMPUTED_VALUE"""),44686.66666666667)</f>
        <v>44686.66667</v>
      </c>
      <c r="D281" s="1">
        <f>IFERROR(__xludf.DUMMYFUNCTION("""COMPUTED_VALUE"""),277.35)</f>
        <v>277.35</v>
      </c>
      <c r="E281" s="4">
        <f>IFERROR(__xludf.DUMMYFUNCTION("""COMPUTED_VALUE"""),44686.66666666667)</f>
        <v>44686.66667</v>
      </c>
      <c r="F281" s="1">
        <f>IFERROR(__xludf.DUMMYFUNCTION("""COMPUTED_VALUE"""),90.31)</f>
        <v>90.31</v>
      </c>
      <c r="G281" s="4">
        <f>IFERROR(__xludf.DUMMYFUNCTION("""COMPUTED_VALUE"""),44686.66666666667)</f>
        <v>44686.66667</v>
      </c>
      <c r="H281" s="1">
        <f>IFERROR(__xludf.DUMMYFUNCTION("""COMPUTED_VALUE"""),166.26)</f>
        <v>166.26</v>
      </c>
      <c r="I281" s="5">
        <f t="shared" si="1"/>
        <v>0.003253173439</v>
      </c>
      <c r="K281" s="5">
        <f t="shared" si="2"/>
        <v>-0.009446547683</v>
      </c>
      <c r="L281" s="5">
        <f t="shared" si="3"/>
        <v>0.01528069981</v>
      </c>
      <c r="M281" s="5">
        <f t="shared" si="4"/>
        <v>0.02664501383</v>
      </c>
      <c r="Q281" s="5"/>
    </row>
    <row r="282">
      <c r="A282" s="4">
        <f>IFERROR(__xludf.DUMMYFUNCTION("""COMPUTED_VALUE"""),44687.66666666667)</f>
        <v>44687.66667</v>
      </c>
      <c r="B282" s="1">
        <f>IFERROR(__xludf.DUMMYFUNCTION("""COMPUTED_VALUE"""),157.28)</f>
        <v>157.28</v>
      </c>
      <c r="C282" s="4">
        <f>IFERROR(__xludf.DUMMYFUNCTION("""COMPUTED_VALUE"""),44687.66666666667)</f>
        <v>44687.66667</v>
      </c>
      <c r="D282" s="1">
        <f>IFERROR(__xludf.DUMMYFUNCTION("""COMPUTED_VALUE"""),274.73)</f>
        <v>274.73</v>
      </c>
      <c r="E282" s="4">
        <f>IFERROR(__xludf.DUMMYFUNCTION("""COMPUTED_VALUE"""),44687.66666666667)</f>
        <v>44687.66667</v>
      </c>
      <c r="F282" s="1">
        <f>IFERROR(__xludf.DUMMYFUNCTION("""COMPUTED_VALUE"""),91.69)</f>
        <v>91.69</v>
      </c>
      <c r="G282" s="4">
        <f>IFERROR(__xludf.DUMMYFUNCTION("""COMPUTED_VALUE"""),44687.66666666667)</f>
        <v>44687.66667</v>
      </c>
      <c r="H282" s="1">
        <f>IFERROR(__xludf.DUMMYFUNCTION("""COMPUTED_VALUE"""),170.69)</f>
        <v>170.69</v>
      </c>
      <c r="I282" s="5">
        <f t="shared" si="1"/>
        <v>-0.03318921668</v>
      </c>
      <c r="K282" s="5">
        <f t="shared" si="2"/>
        <v>-0.03694536454</v>
      </c>
      <c r="L282" s="5">
        <f t="shared" si="3"/>
        <v>-0.07885265569</v>
      </c>
      <c r="M282" s="5">
        <f t="shared" si="4"/>
        <v>-0.06702208682</v>
      </c>
      <c r="Q282" s="5"/>
    </row>
    <row r="283">
      <c r="A283" s="4">
        <f>IFERROR(__xludf.DUMMYFUNCTION("""COMPUTED_VALUE"""),44690.66666666667)</f>
        <v>44690.66667</v>
      </c>
      <c r="B283" s="1">
        <f>IFERROR(__xludf.DUMMYFUNCTION("""COMPUTED_VALUE"""),152.06)</f>
        <v>152.06</v>
      </c>
      <c r="C283" s="4">
        <f>IFERROR(__xludf.DUMMYFUNCTION("""COMPUTED_VALUE"""),44690.66666666667)</f>
        <v>44690.66667</v>
      </c>
      <c r="D283" s="1">
        <f>IFERROR(__xludf.DUMMYFUNCTION("""COMPUTED_VALUE"""),264.58)</f>
        <v>264.58</v>
      </c>
      <c r="E283" s="4">
        <f>IFERROR(__xludf.DUMMYFUNCTION("""COMPUTED_VALUE"""),44690.66666666667)</f>
        <v>44690.66667</v>
      </c>
      <c r="F283" s="1">
        <f>IFERROR(__xludf.DUMMYFUNCTION("""COMPUTED_VALUE"""),84.46)</f>
        <v>84.46</v>
      </c>
      <c r="G283" s="4">
        <f>IFERROR(__xludf.DUMMYFUNCTION("""COMPUTED_VALUE"""),44690.66666666667)</f>
        <v>44690.66667</v>
      </c>
      <c r="H283" s="1">
        <f>IFERROR(__xludf.DUMMYFUNCTION("""COMPUTED_VALUE"""),159.25)</f>
        <v>159.25</v>
      </c>
      <c r="I283" s="5">
        <f t="shared" si="1"/>
        <v>0.01611206103</v>
      </c>
      <c r="K283" s="5">
        <f t="shared" si="2"/>
        <v>0.01859550986</v>
      </c>
      <c r="L283" s="5">
        <f t="shared" si="3"/>
        <v>0.006630357566</v>
      </c>
      <c r="M283" s="5">
        <f t="shared" si="4"/>
        <v>0.009607535322</v>
      </c>
      <c r="Q283" s="5"/>
    </row>
    <row r="284">
      <c r="A284" s="4">
        <f>IFERROR(__xludf.DUMMYFUNCTION("""COMPUTED_VALUE"""),44691.66666666667)</f>
        <v>44691.66667</v>
      </c>
      <c r="B284" s="1">
        <f>IFERROR(__xludf.DUMMYFUNCTION("""COMPUTED_VALUE"""),154.51)</f>
        <v>154.51</v>
      </c>
      <c r="C284" s="4">
        <f>IFERROR(__xludf.DUMMYFUNCTION("""COMPUTED_VALUE"""),44691.66666666667)</f>
        <v>44691.66667</v>
      </c>
      <c r="D284" s="1">
        <f>IFERROR(__xludf.DUMMYFUNCTION("""COMPUTED_VALUE"""),269.5)</f>
        <v>269.5</v>
      </c>
      <c r="E284" s="4">
        <f>IFERROR(__xludf.DUMMYFUNCTION("""COMPUTED_VALUE"""),44691.66666666667)</f>
        <v>44691.66667</v>
      </c>
      <c r="F284" s="1">
        <f>IFERROR(__xludf.DUMMYFUNCTION("""COMPUTED_VALUE"""),85.02)</f>
        <v>85.02</v>
      </c>
      <c r="G284" s="4">
        <f>IFERROR(__xludf.DUMMYFUNCTION("""COMPUTED_VALUE"""),44691.66666666667)</f>
        <v>44691.66667</v>
      </c>
      <c r="H284" s="1">
        <f>IFERROR(__xludf.DUMMYFUNCTION("""COMPUTED_VALUE"""),160.78)</f>
        <v>160.78</v>
      </c>
      <c r="I284" s="5">
        <f t="shared" si="1"/>
        <v>-0.05184130477</v>
      </c>
      <c r="K284" s="5">
        <f t="shared" si="2"/>
        <v>-0.0332096475</v>
      </c>
      <c r="L284" s="5">
        <f t="shared" si="3"/>
        <v>0.02081863091</v>
      </c>
      <c r="M284" s="5">
        <f t="shared" si="4"/>
        <v>0.01480283617</v>
      </c>
      <c r="Q284" s="5"/>
    </row>
    <row r="285">
      <c r="A285" s="4">
        <f>IFERROR(__xludf.DUMMYFUNCTION("""COMPUTED_VALUE"""),44692.66666666667)</f>
        <v>44692.66667</v>
      </c>
      <c r="B285" s="1">
        <f>IFERROR(__xludf.DUMMYFUNCTION("""COMPUTED_VALUE"""),146.5)</f>
        <v>146.5</v>
      </c>
      <c r="C285" s="4">
        <f>IFERROR(__xludf.DUMMYFUNCTION("""COMPUTED_VALUE"""),44692.66666666667)</f>
        <v>44692.66667</v>
      </c>
      <c r="D285" s="1">
        <f>IFERROR(__xludf.DUMMYFUNCTION("""COMPUTED_VALUE"""),260.55)</f>
        <v>260.55</v>
      </c>
      <c r="E285" s="4">
        <f>IFERROR(__xludf.DUMMYFUNCTION("""COMPUTED_VALUE"""),44692.66666666667)</f>
        <v>44692.66667</v>
      </c>
      <c r="F285" s="1">
        <f>IFERROR(__xludf.DUMMYFUNCTION("""COMPUTED_VALUE"""),86.79)</f>
        <v>86.79</v>
      </c>
      <c r="G285" s="4">
        <f>IFERROR(__xludf.DUMMYFUNCTION("""COMPUTED_VALUE"""),44692.66666666667)</f>
        <v>44692.66667</v>
      </c>
      <c r="H285" s="1">
        <f>IFERROR(__xludf.DUMMYFUNCTION("""COMPUTED_VALUE"""),163.16)</f>
        <v>163.16</v>
      </c>
      <c r="I285" s="5">
        <f t="shared" si="1"/>
        <v>-0.02689419795</v>
      </c>
      <c r="K285" s="5">
        <f t="shared" si="2"/>
        <v>-0.01995778162</v>
      </c>
      <c r="L285" s="5">
        <f t="shared" si="3"/>
        <v>-0.005645811729</v>
      </c>
      <c r="M285" s="5">
        <f t="shared" si="4"/>
        <v>0.009499877421</v>
      </c>
      <c r="Q285" s="5"/>
    </row>
    <row r="286">
      <c r="A286" s="4">
        <f>IFERROR(__xludf.DUMMYFUNCTION("""COMPUTED_VALUE"""),44693.66666666667)</f>
        <v>44693.66667</v>
      </c>
      <c r="B286" s="1">
        <f>IFERROR(__xludf.DUMMYFUNCTION("""COMPUTED_VALUE"""),142.56)</f>
        <v>142.56</v>
      </c>
      <c r="C286" s="4">
        <f>IFERROR(__xludf.DUMMYFUNCTION("""COMPUTED_VALUE"""),44693.66666666667)</f>
        <v>44693.66667</v>
      </c>
      <c r="D286" s="1">
        <f>IFERROR(__xludf.DUMMYFUNCTION("""COMPUTED_VALUE"""),255.35)</f>
        <v>255.35</v>
      </c>
      <c r="E286" s="4">
        <f>IFERROR(__xludf.DUMMYFUNCTION("""COMPUTED_VALUE"""),44693.66666666667)</f>
        <v>44693.66667</v>
      </c>
      <c r="F286" s="1">
        <f>IFERROR(__xludf.DUMMYFUNCTION("""COMPUTED_VALUE"""),86.3)</f>
        <v>86.3</v>
      </c>
      <c r="G286" s="4">
        <f>IFERROR(__xludf.DUMMYFUNCTION("""COMPUTED_VALUE"""),44693.66666666667)</f>
        <v>44693.66667</v>
      </c>
      <c r="H286" s="1">
        <f>IFERROR(__xludf.DUMMYFUNCTION("""COMPUTED_VALUE"""),164.71)</f>
        <v>164.71</v>
      </c>
      <c r="I286" s="5">
        <f t="shared" si="1"/>
        <v>0.03191638608</v>
      </c>
      <c r="K286" s="5">
        <f t="shared" si="2"/>
        <v>0.02259643626</v>
      </c>
      <c r="L286" s="5">
        <f t="shared" si="3"/>
        <v>0.02966396292</v>
      </c>
      <c r="M286" s="5">
        <f t="shared" si="4"/>
        <v>0.01918523465</v>
      </c>
      <c r="Q286" s="5"/>
    </row>
    <row r="287">
      <c r="A287" s="4">
        <f>IFERROR(__xludf.DUMMYFUNCTION("""COMPUTED_VALUE"""),44694.66666666667)</f>
        <v>44694.66667</v>
      </c>
      <c r="B287" s="1">
        <f>IFERROR(__xludf.DUMMYFUNCTION("""COMPUTED_VALUE"""),147.11)</f>
        <v>147.11</v>
      </c>
      <c r="C287" s="4">
        <f>IFERROR(__xludf.DUMMYFUNCTION("""COMPUTED_VALUE"""),44694.66666666667)</f>
        <v>44694.66667</v>
      </c>
      <c r="D287" s="1">
        <f>IFERROR(__xludf.DUMMYFUNCTION("""COMPUTED_VALUE"""),261.12)</f>
        <v>261.12</v>
      </c>
      <c r="E287" s="4">
        <f>IFERROR(__xludf.DUMMYFUNCTION("""COMPUTED_VALUE"""),44694.66666666667)</f>
        <v>44694.66667</v>
      </c>
      <c r="F287" s="1">
        <f>IFERROR(__xludf.DUMMYFUNCTION("""COMPUTED_VALUE"""),88.86)</f>
        <v>88.86</v>
      </c>
      <c r="G287" s="4">
        <f>IFERROR(__xludf.DUMMYFUNCTION("""COMPUTED_VALUE"""),44694.66666666667)</f>
        <v>44694.66667</v>
      </c>
      <c r="H287" s="1">
        <f>IFERROR(__xludf.DUMMYFUNCTION("""COMPUTED_VALUE"""),167.87)</f>
        <v>167.87</v>
      </c>
      <c r="I287" s="5">
        <f t="shared" si="1"/>
        <v>-0.01067228604</v>
      </c>
      <c r="K287" s="5">
        <f t="shared" si="2"/>
        <v>0.001455269608</v>
      </c>
      <c r="L287" s="5">
        <f t="shared" si="3"/>
        <v>0.02352014405</v>
      </c>
      <c r="M287" s="5">
        <f t="shared" si="4"/>
        <v>0.03061893132</v>
      </c>
      <c r="Q287" s="5"/>
    </row>
    <row r="288">
      <c r="A288" s="4">
        <f>IFERROR(__xludf.DUMMYFUNCTION("""COMPUTED_VALUE"""),44697.66666666667)</f>
        <v>44697.66667</v>
      </c>
      <c r="B288" s="1">
        <f>IFERROR(__xludf.DUMMYFUNCTION("""COMPUTED_VALUE"""),145.54)</f>
        <v>145.54</v>
      </c>
      <c r="C288" s="4">
        <f>IFERROR(__xludf.DUMMYFUNCTION("""COMPUTED_VALUE"""),44697.66666666667)</f>
        <v>44697.66667</v>
      </c>
      <c r="D288" s="1">
        <f>IFERROR(__xludf.DUMMYFUNCTION("""COMPUTED_VALUE"""),261.5)</f>
        <v>261.5</v>
      </c>
      <c r="E288" s="4">
        <f>IFERROR(__xludf.DUMMYFUNCTION("""COMPUTED_VALUE"""),44697.66666666667)</f>
        <v>44697.66667</v>
      </c>
      <c r="F288" s="1">
        <f>IFERROR(__xludf.DUMMYFUNCTION("""COMPUTED_VALUE"""),90.95)</f>
        <v>90.95</v>
      </c>
      <c r="G288" s="4">
        <f>IFERROR(__xludf.DUMMYFUNCTION("""COMPUTED_VALUE"""),44697.66666666667)</f>
        <v>44697.66667</v>
      </c>
      <c r="H288" s="1">
        <f>IFERROR(__xludf.DUMMYFUNCTION("""COMPUTED_VALUE"""),173.01)</f>
        <v>173.01</v>
      </c>
      <c r="I288" s="5">
        <f t="shared" si="1"/>
        <v>0.02542256424</v>
      </c>
      <c r="K288" s="5">
        <f t="shared" si="2"/>
        <v>0.02034416826</v>
      </c>
      <c r="L288" s="5">
        <f t="shared" si="3"/>
        <v>0.01275426058</v>
      </c>
      <c r="M288" s="5">
        <f t="shared" si="4"/>
        <v>0.00589561297</v>
      </c>
      <c r="Q288" s="5"/>
    </row>
    <row r="289">
      <c r="A289" s="4">
        <f>IFERROR(__xludf.DUMMYFUNCTION("""COMPUTED_VALUE"""),44698.66666666667)</f>
        <v>44698.66667</v>
      </c>
      <c r="B289" s="1">
        <f>IFERROR(__xludf.DUMMYFUNCTION("""COMPUTED_VALUE"""),149.24)</f>
        <v>149.24</v>
      </c>
      <c r="C289" s="4">
        <f>IFERROR(__xludf.DUMMYFUNCTION("""COMPUTED_VALUE"""),44698.66666666667)</f>
        <v>44698.66667</v>
      </c>
      <c r="D289" s="1">
        <f>IFERROR(__xludf.DUMMYFUNCTION("""COMPUTED_VALUE"""),266.82)</f>
        <v>266.82</v>
      </c>
      <c r="E289" s="4">
        <f>IFERROR(__xludf.DUMMYFUNCTION("""COMPUTED_VALUE"""),44698.66666666667)</f>
        <v>44698.66667</v>
      </c>
      <c r="F289" s="1">
        <f>IFERROR(__xludf.DUMMYFUNCTION("""COMPUTED_VALUE"""),92.11)</f>
        <v>92.11</v>
      </c>
      <c r="G289" s="4">
        <f>IFERROR(__xludf.DUMMYFUNCTION("""COMPUTED_VALUE"""),44698.66666666667)</f>
        <v>44698.66667</v>
      </c>
      <c r="H289" s="1">
        <f>IFERROR(__xludf.DUMMYFUNCTION("""COMPUTED_VALUE"""),174.03)</f>
        <v>174.03</v>
      </c>
      <c r="I289" s="5">
        <f t="shared" si="1"/>
        <v>-0.05641919057</v>
      </c>
      <c r="K289" s="5">
        <f t="shared" si="2"/>
        <v>-0.04774754516</v>
      </c>
      <c r="L289" s="5">
        <f t="shared" si="3"/>
        <v>-0.0158506134</v>
      </c>
      <c r="M289" s="5">
        <f t="shared" si="4"/>
        <v>-0.03430443027</v>
      </c>
      <c r="Q289" s="5"/>
    </row>
    <row r="290">
      <c r="A290" s="4">
        <f>IFERROR(__xludf.DUMMYFUNCTION("""COMPUTED_VALUE"""),44699.66666666667)</f>
        <v>44699.66667</v>
      </c>
      <c r="B290" s="1">
        <f>IFERROR(__xludf.DUMMYFUNCTION("""COMPUTED_VALUE"""),140.82)</f>
        <v>140.82</v>
      </c>
      <c r="C290" s="4">
        <f>IFERROR(__xludf.DUMMYFUNCTION("""COMPUTED_VALUE"""),44699.66666666667)</f>
        <v>44699.66667</v>
      </c>
      <c r="D290" s="1">
        <f>IFERROR(__xludf.DUMMYFUNCTION("""COMPUTED_VALUE"""),254.08)</f>
        <v>254.08</v>
      </c>
      <c r="E290" s="4">
        <f>IFERROR(__xludf.DUMMYFUNCTION("""COMPUTED_VALUE"""),44699.66666666667)</f>
        <v>44699.66667</v>
      </c>
      <c r="F290" s="1">
        <f>IFERROR(__xludf.DUMMYFUNCTION("""COMPUTED_VALUE"""),90.65)</f>
        <v>90.65</v>
      </c>
      <c r="G290" s="4">
        <f>IFERROR(__xludf.DUMMYFUNCTION("""COMPUTED_VALUE"""),44699.66666666667)</f>
        <v>44699.66667</v>
      </c>
      <c r="H290" s="1">
        <f>IFERROR(__xludf.DUMMYFUNCTION("""COMPUTED_VALUE"""),168.06)</f>
        <v>168.06</v>
      </c>
      <c r="I290" s="5">
        <f t="shared" si="1"/>
        <v>-0.02464138617</v>
      </c>
      <c r="K290" s="5">
        <f t="shared" si="2"/>
        <v>-0.003699622166</v>
      </c>
      <c r="L290" s="5">
        <f t="shared" si="3"/>
        <v>0.005405405405</v>
      </c>
      <c r="M290" s="5">
        <f t="shared" si="4"/>
        <v>-0.007140307033</v>
      </c>
      <c r="Q290" s="5"/>
    </row>
    <row r="291">
      <c r="A291" s="4">
        <f>IFERROR(__xludf.DUMMYFUNCTION("""COMPUTED_VALUE"""),44700.66666666667)</f>
        <v>44700.66667</v>
      </c>
      <c r="B291" s="1">
        <f>IFERROR(__xludf.DUMMYFUNCTION("""COMPUTED_VALUE"""),137.35)</f>
        <v>137.35</v>
      </c>
      <c r="C291" s="4">
        <f>IFERROR(__xludf.DUMMYFUNCTION("""COMPUTED_VALUE"""),44700.66666666667)</f>
        <v>44700.66667</v>
      </c>
      <c r="D291" s="1">
        <f>IFERROR(__xludf.DUMMYFUNCTION("""COMPUTED_VALUE"""),253.14)</f>
        <v>253.14</v>
      </c>
      <c r="E291" s="4">
        <f>IFERROR(__xludf.DUMMYFUNCTION("""COMPUTED_VALUE"""),44700.66666666667)</f>
        <v>44700.66667</v>
      </c>
      <c r="F291" s="1">
        <f>IFERROR(__xludf.DUMMYFUNCTION("""COMPUTED_VALUE"""),91.14)</f>
        <v>91.14</v>
      </c>
      <c r="G291" s="4">
        <f>IFERROR(__xludf.DUMMYFUNCTION("""COMPUTED_VALUE"""),44700.66666666667)</f>
        <v>44700.66667</v>
      </c>
      <c r="H291" s="1">
        <f>IFERROR(__xludf.DUMMYFUNCTION("""COMPUTED_VALUE"""),166.86)</f>
        <v>166.86</v>
      </c>
      <c r="I291" s="5">
        <f t="shared" si="1"/>
        <v>0.001747360757</v>
      </c>
      <c r="K291" s="5">
        <f t="shared" si="2"/>
        <v>-0.002291222249</v>
      </c>
      <c r="L291" s="5">
        <f t="shared" si="3"/>
        <v>0.007899934167</v>
      </c>
      <c r="M291" s="5">
        <f t="shared" si="4"/>
        <v>0.005753326142</v>
      </c>
      <c r="Q291" s="5"/>
    </row>
    <row r="292">
      <c r="A292" s="4">
        <f>IFERROR(__xludf.DUMMYFUNCTION("""COMPUTED_VALUE"""),44701.66666666667)</f>
        <v>44701.66667</v>
      </c>
      <c r="B292" s="1">
        <f>IFERROR(__xludf.DUMMYFUNCTION("""COMPUTED_VALUE"""),137.59)</f>
        <v>137.59</v>
      </c>
      <c r="C292" s="4">
        <f>IFERROR(__xludf.DUMMYFUNCTION("""COMPUTED_VALUE"""),44701.66666666667)</f>
        <v>44701.66667</v>
      </c>
      <c r="D292" s="1">
        <f>IFERROR(__xludf.DUMMYFUNCTION("""COMPUTED_VALUE"""),252.56)</f>
        <v>252.56</v>
      </c>
      <c r="E292" s="4">
        <f>IFERROR(__xludf.DUMMYFUNCTION("""COMPUTED_VALUE"""),44701.66666666667)</f>
        <v>44701.66667</v>
      </c>
      <c r="F292" s="1">
        <f>IFERROR(__xludf.DUMMYFUNCTION("""COMPUTED_VALUE"""),91.86)</f>
        <v>91.86</v>
      </c>
      <c r="G292" s="4">
        <f>IFERROR(__xludf.DUMMYFUNCTION("""COMPUTED_VALUE"""),44701.66666666667)</f>
        <v>44701.66667</v>
      </c>
      <c r="H292" s="1">
        <f>IFERROR(__xludf.DUMMYFUNCTION("""COMPUTED_VALUE"""),167.82)</f>
        <v>167.82</v>
      </c>
      <c r="I292" s="5">
        <f t="shared" si="1"/>
        <v>0.04011919471</v>
      </c>
      <c r="K292" s="5">
        <f t="shared" si="2"/>
        <v>0.0320319924</v>
      </c>
      <c r="L292" s="5">
        <f t="shared" si="3"/>
        <v>0.02209884607</v>
      </c>
      <c r="M292" s="5">
        <f t="shared" si="4"/>
        <v>0.02323918484</v>
      </c>
      <c r="Q292" s="5"/>
    </row>
    <row r="293">
      <c r="A293" s="4">
        <f>IFERROR(__xludf.DUMMYFUNCTION("""COMPUTED_VALUE"""),44704.66666666667)</f>
        <v>44704.66667</v>
      </c>
      <c r="B293" s="1">
        <f>IFERROR(__xludf.DUMMYFUNCTION("""COMPUTED_VALUE"""),143.11)</f>
        <v>143.11</v>
      </c>
      <c r="C293" s="4">
        <f>IFERROR(__xludf.DUMMYFUNCTION("""COMPUTED_VALUE"""),44704.66666666667)</f>
        <v>44704.66667</v>
      </c>
      <c r="D293" s="1">
        <f>IFERROR(__xludf.DUMMYFUNCTION("""COMPUTED_VALUE"""),260.65)</f>
        <v>260.65</v>
      </c>
      <c r="E293" s="4">
        <f>IFERROR(__xludf.DUMMYFUNCTION("""COMPUTED_VALUE"""),44704.66666666667)</f>
        <v>44704.66667</v>
      </c>
      <c r="F293" s="1">
        <f>IFERROR(__xludf.DUMMYFUNCTION("""COMPUTED_VALUE"""),93.89)</f>
        <v>93.89</v>
      </c>
      <c r="G293" s="4">
        <f>IFERROR(__xludf.DUMMYFUNCTION("""COMPUTED_VALUE"""),44704.66666666667)</f>
        <v>44704.66667</v>
      </c>
      <c r="H293" s="1">
        <f>IFERROR(__xludf.DUMMYFUNCTION("""COMPUTED_VALUE"""),171.72)</f>
        <v>171.72</v>
      </c>
      <c r="I293" s="5">
        <f t="shared" si="1"/>
        <v>-0.0192159877</v>
      </c>
      <c r="K293" s="5">
        <f t="shared" si="2"/>
        <v>-0.003951659313</v>
      </c>
      <c r="L293" s="5">
        <f t="shared" si="3"/>
        <v>0.00543188838</v>
      </c>
      <c r="M293" s="5">
        <f t="shared" si="4"/>
        <v>0.005357558817</v>
      </c>
      <c r="Q293" s="5"/>
    </row>
    <row r="294">
      <c r="A294" s="4">
        <f>IFERROR(__xludf.DUMMYFUNCTION("""COMPUTED_VALUE"""),44705.66666666667)</f>
        <v>44705.66667</v>
      </c>
      <c r="B294" s="1">
        <f>IFERROR(__xludf.DUMMYFUNCTION("""COMPUTED_VALUE"""),140.36)</f>
        <v>140.36</v>
      </c>
      <c r="C294" s="4">
        <f>IFERROR(__xludf.DUMMYFUNCTION("""COMPUTED_VALUE"""),44705.66666666667)</f>
        <v>44705.66667</v>
      </c>
      <c r="D294" s="1">
        <f>IFERROR(__xludf.DUMMYFUNCTION("""COMPUTED_VALUE"""),259.62)</f>
        <v>259.62</v>
      </c>
      <c r="E294" s="4">
        <f>IFERROR(__xludf.DUMMYFUNCTION("""COMPUTED_VALUE"""),44705.66666666667)</f>
        <v>44705.66667</v>
      </c>
      <c r="F294" s="1">
        <f>IFERROR(__xludf.DUMMYFUNCTION("""COMPUTED_VALUE"""),94.4)</f>
        <v>94.4</v>
      </c>
      <c r="G294" s="4">
        <f>IFERROR(__xludf.DUMMYFUNCTION("""COMPUTED_VALUE"""),44705.66666666667)</f>
        <v>44705.66667</v>
      </c>
      <c r="H294" s="1">
        <f>IFERROR(__xludf.DUMMYFUNCTION("""COMPUTED_VALUE"""),172.64)</f>
        <v>172.64</v>
      </c>
      <c r="I294" s="5">
        <f t="shared" si="1"/>
        <v>0.001139925905</v>
      </c>
      <c r="K294" s="5">
        <f t="shared" si="2"/>
        <v>0.01117017179</v>
      </c>
      <c r="L294" s="5">
        <f t="shared" si="3"/>
        <v>0.02012711864</v>
      </c>
      <c r="M294" s="5">
        <f t="shared" si="4"/>
        <v>0.01604494903</v>
      </c>
      <c r="Q294" s="5"/>
    </row>
    <row r="295">
      <c r="A295" s="4">
        <f>IFERROR(__xludf.DUMMYFUNCTION("""COMPUTED_VALUE"""),44706.66666666667)</f>
        <v>44706.66667</v>
      </c>
      <c r="B295" s="1">
        <f>IFERROR(__xludf.DUMMYFUNCTION("""COMPUTED_VALUE"""),140.52)</f>
        <v>140.52</v>
      </c>
      <c r="C295" s="4">
        <f>IFERROR(__xludf.DUMMYFUNCTION("""COMPUTED_VALUE"""),44706.66666666667)</f>
        <v>44706.66667</v>
      </c>
      <c r="D295" s="1">
        <f>IFERROR(__xludf.DUMMYFUNCTION("""COMPUTED_VALUE"""),262.52)</f>
        <v>262.52</v>
      </c>
      <c r="E295" s="4">
        <f>IFERROR(__xludf.DUMMYFUNCTION("""COMPUTED_VALUE"""),44706.66666666667)</f>
        <v>44706.66667</v>
      </c>
      <c r="F295" s="1">
        <f>IFERROR(__xludf.DUMMYFUNCTION("""COMPUTED_VALUE"""),96.3)</f>
        <v>96.3</v>
      </c>
      <c r="G295" s="4">
        <f>IFERROR(__xludf.DUMMYFUNCTION("""COMPUTED_VALUE"""),44706.66666666667)</f>
        <v>44706.66667</v>
      </c>
      <c r="H295" s="1">
        <f>IFERROR(__xludf.DUMMYFUNCTION("""COMPUTED_VALUE"""),175.41)</f>
        <v>175.41</v>
      </c>
      <c r="I295" s="5">
        <f t="shared" si="1"/>
        <v>0.02319954455</v>
      </c>
      <c r="K295" s="5">
        <f t="shared" si="2"/>
        <v>0.01287520951</v>
      </c>
      <c r="L295" s="5">
        <f t="shared" si="3"/>
        <v>0.003530633437</v>
      </c>
      <c r="M295" s="5">
        <f t="shared" si="4"/>
        <v>0.006727096517</v>
      </c>
      <c r="Q295" s="5"/>
    </row>
    <row r="296">
      <c r="A296" s="4">
        <f>IFERROR(__xludf.DUMMYFUNCTION("""COMPUTED_VALUE"""),44707.66666666667)</f>
        <v>44707.66667</v>
      </c>
      <c r="B296" s="1">
        <f>IFERROR(__xludf.DUMMYFUNCTION("""COMPUTED_VALUE"""),143.78)</f>
        <v>143.78</v>
      </c>
      <c r="C296" s="4">
        <f>IFERROR(__xludf.DUMMYFUNCTION("""COMPUTED_VALUE"""),44707.66666666667)</f>
        <v>44707.66667</v>
      </c>
      <c r="D296" s="1">
        <f>IFERROR(__xludf.DUMMYFUNCTION("""COMPUTED_VALUE"""),265.9)</f>
        <v>265.9</v>
      </c>
      <c r="E296" s="4">
        <f>IFERROR(__xludf.DUMMYFUNCTION("""COMPUTED_VALUE"""),44707.66666666667)</f>
        <v>44707.66667</v>
      </c>
      <c r="F296" s="1">
        <f>IFERROR(__xludf.DUMMYFUNCTION("""COMPUTED_VALUE"""),96.64)</f>
        <v>96.64</v>
      </c>
      <c r="G296" s="4">
        <f>IFERROR(__xludf.DUMMYFUNCTION("""COMPUTED_VALUE"""),44707.66666666667)</f>
        <v>44707.66667</v>
      </c>
      <c r="H296" s="1">
        <f>IFERROR(__xludf.DUMMYFUNCTION("""COMPUTED_VALUE"""),176.59)</f>
        <v>176.59</v>
      </c>
      <c r="I296" s="5">
        <f t="shared" si="1"/>
        <v>0.04075671164</v>
      </c>
      <c r="K296" s="5">
        <f t="shared" si="2"/>
        <v>0.02760436254</v>
      </c>
      <c r="L296" s="5">
        <f t="shared" si="3"/>
        <v>0.009830298013</v>
      </c>
      <c r="M296" s="5">
        <f t="shared" si="4"/>
        <v>0.009570190838</v>
      </c>
      <c r="Q296" s="5"/>
    </row>
    <row r="297">
      <c r="A297" s="4">
        <f>IFERROR(__xludf.DUMMYFUNCTION("""COMPUTED_VALUE"""),44708.66666666667)</f>
        <v>44708.66667</v>
      </c>
      <c r="B297" s="1">
        <f>IFERROR(__xludf.DUMMYFUNCTION("""COMPUTED_VALUE"""),149.64)</f>
        <v>149.64</v>
      </c>
      <c r="C297" s="4">
        <f>IFERROR(__xludf.DUMMYFUNCTION("""COMPUTED_VALUE"""),44708.66666666667)</f>
        <v>44708.66667</v>
      </c>
      <c r="D297" s="1">
        <f>IFERROR(__xludf.DUMMYFUNCTION("""COMPUTED_VALUE"""),273.24)</f>
        <v>273.24</v>
      </c>
      <c r="E297" s="4">
        <f>IFERROR(__xludf.DUMMYFUNCTION("""COMPUTED_VALUE"""),44708.66666666667)</f>
        <v>44708.66667</v>
      </c>
      <c r="F297" s="1">
        <f>IFERROR(__xludf.DUMMYFUNCTION("""COMPUTED_VALUE"""),97.59)</f>
        <v>97.59</v>
      </c>
      <c r="G297" s="4">
        <f>IFERROR(__xludf.DUMMYFUNCTION("""COMPUTED_VALUE"""),44708.66666666667)</f>
        <v>44708.66667</v>
      </c>
      <c r="H297" s="1">
        <f>IFERROR(__xludf.DUMMYFUNCTION("""COMPUTED_VALUE"""),178.28)</f>
        <v>178.28</v>
      </c>
      <c r="I297" s="5">
        <f t="shared" si="1"/>
        <v>-0.005346164127</v>
      </c>
      <c r="K297" s="5">
        <f t="shared" si="2"/>
        <v>-0.005013907188</v>
      </c>
      <c r="L297" s="5">
        <f t="shared" si="3"/>
        <v>-0.01629265294</v>
      </c>
      <c r="M297" s="5">
        <f t="shared" si="4"/>
        <v>-0.02030513799</v>
      </c>
      <c r="Q297" s="5"/>
    </row>
    <row r="298">
      <c r="A298" s="4">
        <f>IFERROR(__xludf.DUMMYFUNCTION("""COMPUTED_VALUE"""),44712.66666666667)</f>
        <v>44712.66667</v>
      </c>
      <c r="B298" s="1">
        <f>IFERROR(__xludf.DUMMYFUNCTION("""COMPUTED_VALUE"""),148.84)</f>
        <v>148.84</v>
      </c>
      <c r="C298" s="4">
        <f>IFERROR(__xludf.DUMMYFUNCTION("""COMPUTED_VALUE"""),44712.66666666667)</f>
        <v>44712.66667</v>
      </c>
      <c r="D298" s="1">
        <f>IFERROR(__xludf.DUMMYFUNCTION("""COMPUTED_VALUE"""),271.87)</f>
        <v>271.87</v>
      </c>
      <c r="E298" s="4">
        <f>IFERROR(__xludf.DUMMYFUNCTION("""COMPUTED_VALUE"""),44712.66666666667)</f>
        <v>44712.66667</v>
      </c>
      <c r="F298" s="1">
        <f>IFERROR(__xludf.DUMMYFUNCTION("""COMPUTED_VALUE"""),96.0)</f>
        <v>96</v>
      </c>
      <c r="G298" s="4">
        <f>IFERROR(__xludf.DUMMYFUNCTION("""COMPUTED_VALUE"""),44712.66666666667)</f>
        <v>44712.66667</v>
      </c>
      <c r="H298" s="1">
        <f>IFERROR(__xludf.DUMMYFUNCTION("""COMPUTED_VALUE"""),174.66)</f>
        <v>174.66</v>
      </c>
      <c r="I298" s="5">
        <f t="shared" si="1"/>
        <v>-0.0008734211234</v>
      </c>
      <c r="K298" s="5">
        <f t="shared" si="2"/>
        <v>0.002023025711</v>
      </c>
      <c r="L298" s="5">
        <f t="shared" si="3"/>
        <v>0.01916666667</v>
      </c>
      <c r="M298" s="5">
        <f t="shared" si="4"/>
        <v>0.009504179549</v>
      </c>
      <c r="Q298" s="5"/>
    </row>
    <row r="299">
      <c r="A299" s="4">
        <f>IFERROR(__xludf.DUMMYFUNCTION("""COMPUTED_VALUE"""),44713.66666666667)</f>
        <v>44713.66667</v>
      </c>
      <c r="B299" s="1">
        <f>IFERROR(__xludf.DUMMYFUNCTION("""COMPUTED_VALUE"""),148.71)</f>
        <v>148.71</v>
      </c>
      <c r="C299" s="4">
        <f>IFERROR(__xludf.DUMMYFUNCTION("""COMPUTED_VALUE"""),44713.66666666667)</f>
        <v>44713.66667</v>
      </c>
      <c r="D299" s="1">
        <f>IFERROR(__xludf.DUMMYFUNCTION("""COMPUTED_VALUE"""),272.42)</f>
        <v>272.42</v>
      </c>
      <c r="E299" s="4">
        <f>IFERROR(__xludf.DUMMYFUNCTION("""COMPUTED_VALUE"""),44713.66666666667)</f>
        <v>44713.66667</v>
      </c>
      <c r="F299" s="1">
        <f>IFERROR(__xludf.DUMMYFUNCTION("""COMPUTED_VALUE"""),97.84)</f>
        <v>97.84</v>
      </c>
      <c r="G299" s="4">
        <f>IFERROR(__xludf.DUMMYFUNCTION("""COMPUTED_VALUE"""),44713.66666666667)</f>
        <v>44713.66667</v>
      </c>
      <c r="H299" s="1">
        <f>IFERROR(__xludf.DUMMYFUNCTION("""COMPUTED_VALUE"""),176.32)</f>
        <v>176.32</v>
      </c>
      <c r="I299" s="5">
        <f t="shared" si="1"/>
        <v>0.01681124336</v>
      </c>
      <c r="K299" s="5">
        <f t="shared" si="2"/>
        <v>0.007928933265</v>
      </c>
      <c r="L299" s="5">
        <f t="shared" si="3"/>
        <v>-0.001737530662</v>
      </c>
      <c r="M299" s="5">
        <f t="shared" si="4"/>
        <v>-0.001814882033</v>
      </c>
      <c r="Q299" s="5"/>
    </row>
    <row r="300">
      <c r="A300" s="4">
        <f>IFERROR(__xludf.DUMMYFUNCTION("""COMPUTED_VALUE"""),44714.66666666667)</f>
        <v>44714.66667</v>
      </c>
      <c r="B300" s="1">
        <f>IFERROR(__xludf.DUMMYFUNCTION("""COMPUTED_VALUE"""),151.21)</f>
        <v>151.21</v>
      </c>
      <c r="C300" s="4">
        <f>IFERROR(__xludf.DUMMYFUNCTION("""COMPUTED_VALUE"""),44714.66666666667)</f>
        <v>44714.66667</v>
      </c>
      <c r="D300" s="1">
        <f>IFERROR(__xludf.DUMMYFUNCTION("""COMPUTED_VALUE"""),274.58)</f>
        <v>274.58</v>
      </c>
      <c r="E300" s="4">
        <f>IFERROR(__xludf.DUMMYFUNCTION("""COMPUTED_VALUE"""),44714.66666666667)</f>
        <v>44714.66667</v>
      </c>
      <c r="F300" s="1">
        <f>IFERROR(__xludf.DUMMYFUNCTION("""COMPUTED_VALUE"""),97.67)</f>
        <v>97.67</v>
      </c>
      <c r="G300" s="4">
        <f>IFERROR(__xludf.DUMMYFUNCTION("""COMPUTED_VALUE"""),44714.66666666667)</f>
        <v>44714.66667</v>
      </c>
      <c r="H300" s="1">
        <f>IFERROR(__xludf.DUMMYFUNCTION("""COMPUTED_VALUE"""),176.0)</f>
        <v>176</v>
      </c>
      <c r="I300" s="5">
        <f t="shared" si="1"/>
        <v>-0.03855565108</v>
      </c>
      <c r="K300" s="5">
        <f t="shared" si="2"/>
        <v>-0.01660718188</v>
      </c>
      <c r="L300" s="5">
        <f t="shared" si="3"/>
        <v>0.01453875294</v>
      </c>
      <c r="M300" s="5">
        <f t="shared" si="4"/>
        <v>0.009090909091</v>
      </c>
      <c r="Q300" s="5"/>
    </row>
    <row r="301">
      <c r="A301" s="4">
        <f>IFERROR(__xludf.DUMMYFUNCTION("""COMPUTED_VALUE"""),44715.66666666667)</f>
        <v>44715.66667</v>
      </c>
      <c r="B301" s="1">
        <f>IFERROR(__xludf.DUMMYFUNCTION("""COMPUTED_VALUE"""),145.38)</f>
        <v>145.38</v>
      </c>
      <c r="C301" s="4">
        <f>IFERROR(__xludf.DUMMYFUNCTION("""COMPUTED_VALUE"""),44715.66666666667)</f>
        <v>44715.66667</v>
      </c>
      <c r="D301" s="1">
        <f>IFERROR(__xludf.DUMMYFUNCTION("""COMPUTED_VALUE"""),270.02)</f>
        <v>270.02</v>
      </c>
      <c r="E301" s="4">
        <f>IFERROR(__xludf.DUMMYFUNCTION("""COMPUTED_VALUE"""),44715.66666666667)</f>
        <v>44715.66667</v>
      </c>
      <c r="F301" s="1">
        <f>IFERROR(__xludf.DUMMYFUNCTION("""COMPUTED_VALUE"""),99.09)</f>
        <v>99.09</v>
      </c>
      <c r="G301" s="4">
        <f>IFERROR(__xludf.DUMMYFUNCTION("""COMPUTED_VALUE"""),44715.66666666667)</f>
        <v>44715.66667</v>
      </c>
      <c r="H301" s="1">
        <f>IFERROR(__xludf.DUMMYFUNCTION("""COMPUTED_VALUE"""),177.6)</f>
        <v>177.6</v>
      </c>
      <c r="I301" s="5">
        <f t="shared" si="1"/>
        <v>0.005227679186</v>
      </c>
      <c r="K301" s="5">
        <f t="shared" si="2"/>
        <v>-0.004703355307</v>
      </c>
      <c r="L301" s="5">
        <f t="shared" si="3"/>
        <v>-0.002522958926</v>
      </c>
      <c r="M301" s="5">
        <f t="shared" si="4"/>
        <v>-0.004335585586</v>
      </c>
      <c r="Q301" s="5"/>
    </row>
    <row r="302">
      <c r="A302" s="4">
        <f>IFERROR(__xludf.DUMMYFUNCTION("""COMPUTED_VALUE"""),44718.66666666667)</f>
        <v>44718.66667</v>
      </c>
      <c r="B302" s="1">
        <f>IFERROR(__xludf.DUMMYFUNCTION("""COMPUTED_VALUE"""),146.14)</f>
        <v>146.14</v>
      </c>
      <c r="C302" s="4">
        <f>IFERROR(__xludf.DUMMYFUNCTION("""COMPUTED_VALUE"""),44718.66666666667)</f>
        <v>44718.66667</v>
      </c>
      <c r="D302" s="1">
        <f>IFERROR(__xludf.DUMMYFUNCTION("""COMPUTED_VALUE"""),268.75)</f>
        <v>268.75</v>
      </c>
      <c r="E302" s="4">
        <f>IFERROR(__xludf.DUMMYFUNCTION("""COMPUTED_VALUE"""),44718.66666666667)</f>
        <v>44718.66667</v>
      </c>
      <c r="F302" s="1">
        <f>IFERROR(__xludf.DUMMYFUNCTION("""COMPUTED_VALUE"""),98.84)</f>
        <v>98.84</v>
      </c>
      <c r="G302" s="4">
        <f>IFERROR(__xludf.DUMMYFUNCTION("""COMPUTED_VALUE"""),44718.66666666667)</f>
        <v>44718.66667</v>
      </c>
      <c r="H302" s="1">
        <f>IFERROR(__xludf.DUMMYFUNCTION("""COMPUTED_VALUE"""),176.83)</f>
        <v>176.83</v>
      </c>
      <c r="I302" s="5">
        <f t="shared" si="1"/>
        <v>0.01758587656</v>
      </c>
      <c r="K302" s="5">
        <f t="shared" si="2"/>
        <v>0.01395348837</v>
      </c>
      <c r="L302" s="5">
        <f t="shared" si="3"/>
        <v>0.04583164711</v>
      </c>
      <c r="M302" s="5">
        <f t="shared" si="4"/>
        <v>0.01905785217</v>
      </c>
      <c r="Q302" s="5"/>
    </row>
    <row r="303">
      <c r="A303" s="4">
        <f>IFERROR(__xludf.DUMMYFUNCTION("""COMPUTED_VALUE"""),44719.66666666667)</f>
        <v>44719.66667</v>
      </c>
      <c r="B303" s="1">
        <f>IFERROR(__xludf.DUMMYFUNCTION("""COMPUTED_VALUE"""),148.71)</f>
        <v>148.71</v>
      </c>
      <c r="C303" s="4">
        <f>IFERROR(__xludf.DUMMYFUNCTION("""COMPUTED_VALUE"""),44719.66666666667)</f>
        <v>44719.66667</v>
      </c>
      <c r="D303" s="1">
        <f>IFERROR(__xludf.DUMMYFUNCTION("""COMPUTED_VALUE"""),272.5)</f>
        <v>272.5</v>
      </c>
      <c r="E303" s="4">
        <f>IFERROR(__xludf.DUMMYFUNCTION("""COMPUTED_VALUE"""),44719.66666666667)</f>
        <v>44719.66667</v>
      </c>
      <c r="F303" s="1">
        <f>IFERROR(__xludf.DUMMYFUNCTION("""COMPUTED_VALUE"""),103.37)</f>
        <v>103.37</v>
      </c>
      <c r="G303" s="4">
        <f>IFERROR(__xludf.DUMMYFUNCTION("""COMPUTED_VALUE"""),44719.66666666667)</f>
        <v>44719.66667</v>
      </c>
      <c r="H303" s="1">
        <f>IFERROR(__xludf.DUMMYFUNCTION("""COMPUTED_VALUE"""),180.2)</f>
        <v>180.2</v>
      </c>
      <c r="I303" s="5">
        <f t="shared" si="1"/>
        <v>-0.005043373008</v>
      </c>
      <c r="K303" s="5">
        <f t="shared" si="2"/>
        <v>-0.007669724771</v>
      </c>
      <c r="L303" s="5">
        <f t="shared" si="3"/>
        <v>0.01180226371</v>
      </c>
      <c r="M303" s="5">
        <f t="shared" si="4"/>
        <v>0.005160932297</v>
      </c>
      <c r="Q303" s="5"/>
    </row>
    <row r="304">
      <c r="A304" s="4">
        <f>IFERROR(__xludf.DUMMYFUNCTION("""COMPUTED_VALUE"""),44720.66666666667)</f>
        <v>44720.66667</v>
      </c>
      <c r="B304" s="1">
        <f>IFERROR(__xludf.DUMMYFUNCTION("""COMPUTED_VALUE"""),147.96)</f>
        <v>147.96</v>
      </c>
      <c r="C304" s="4">
        <f>IFERROR(__xludf.DUMMYFUNCTION("""COMPUTED_VALUE"""),44720.66666666667)</f>
        <v>44720.66667</v>
      </c>
      <c r="D304" s="1">
        <f>IFERROR(__xludf.DUMMYFUNCTION("""COMPUTED_VALUE"""),270.41)</f>
        <v>270.41</v>
      </c>
      <c r="E304" s="4">
        <f>IFERROR(__xludf.DUMMYFUNCTION("""COMPUTED_VALUE"""),44720.66666666667)</f>
        <v>44720.66667</v>
      </c>
      <c r="F304" s="1">
        <f>IFERROR(__xludf.DUMMYFUNCTION("""COMPUTED_VALUE"""),104.59)</f>
        <v>104.59</v>
      </c>
      <c r="G304" s="4">
        <f>IFERROR(__xludf.DUMMYFUNCTION("""COMPUTED_VALUE"""),44720.66666666667)</f>
        <v>44720.66667</v>
      </c>
      <c r="H304" s="1">
        <f>IFERROR(__xludf.DUMMYFUNCTION("""COMPUTED_VALUE"""),181.13)</f>
        <v>181.13</v>
      </c>
      <c r="I304" s="5">
        <f t="shared" si="1"/>
        <v>-0.03595566369</v>
      </c>
      <c r="K304" s="5">
        <f t="shared" si="2"/>
        <v>-0.02078325506</v>
      </c>
      <c r="L304" s="5">
        <f t="shared" si="3"/>
        <v>-0.02160818434</v>
      </c>
      <c r="M304" s="5">
        <f t="shared" si="4"/>
        <v>-0.0199304367</v>
      </c>
      <c r="Q304" s="5"/>
    </row>
    <row r="305">
      <c r="A305" s="4">
        <f>IFERROR(__xludf.DUMMYFUNCTION("""COMPUTED_VALUE"""),44721.66666666667)</f>
        <v>44721.66667</v>
      </c>
      <c r="B305" s="1">
        <f>IFERROR(__xludf.DUMMYFUNCTION("""COMPUTED_VALUE"""),142.64)</f>
        <v>142.64</v>
      </c>
      <c r="C305" s="4">
        <f>IFERROR(__xludf.DUMMYFUNCTION("""COMPUTED_VALUE"""),44721.66666666667)</f>
        <v>44721.66667</v>
      </c>
      <c r="D305" s="1">
        <f>IFERROR(__xludf.DUMMYFUNCTION("""COMPUTED_VALUE"""),264.79)</f>
        <v>264.79</v>
      </c>
      <c r="E305" s="4">
        <f>IFERROR(__xludf.DUMMYFUNCTION("""COMPUTED_VALUE"""),44721.66666666667)</f>
        <v>44721.66667</v>
      </c>
      <c r="F305" s="1">
        <f>IFERROR(__xludf.DUMMYFUNCTION("""COMPUTED_VALUE"""),102.33)</f>
        <v>102.33</v>
      </c>
      <c r="G305" s="4">
        <f>IFERROR(__xludf.DUMMYFUNCTION("""COMPUTED_VALUE"""),44721.66666666667)</f>
        <v>44721.66667</v>
      </c>
      <c r="H305" s="1">
        <f>IFERROR(__xludf.DUMMYFUNCTION("""COMPUTED_VALUE"""),177.52)</f>
        <v>177.52</v>
      </c>
      <c r="I305" s="5">
        <f t="shared" si="1"/>
        <v>-0.03862871565</v>
      </c>
      <c r="K305" s="5">
        <f t="shared" si="2"/>
        <v>-0.04456361645</v>
      </c>
      <c r="L305" s="5">
        <f t="shared" si="3"/>
        <v>-0.01827421089</v>
      </c>
      <c r="M305" s="5">
        <f t="shared" si="4"/>
        <v>-0.01194231636</v>
      </c>
      <c r="Q305" s="5"/>
    </row>
    <row r="306">
      <c r="A306" s="4">
        <f>IFERROR(__xludf.DUMMYFUNCTION("""COMPUTED_VALUE"""),44722.66666666667)</f>
        <v>44722.66667</v>
      </c>
      <c r="B306" s="1">
        <f>IFERROR(__xludf.DUMMYFUNCTION("""COMPUTED_VALUE"""),137.13)</f>
        <v>137.13</v>
      </c>
      <c r="C306" s="4">
        <f>IFERROR(__xludf.DUMMYFUNCTION("""COMPUTED_VALUE"""),44722.66666666667)</f>
        <v>44722.66667</v>
      </c>
      <c r="D306" s="1">
        <f>IFERROR(__xludf.DUMMYFUNCTION("""COMPUTED_VALUE"""),252.99)</f>
        <v>252.99</v>
      </c>
      <c r="E306" s="4">
        <f>IFERROR(__xludf.DUMMYFUNCTION("""COMPUTED_VALUE"""),44722.66666666667)</f>
        <v>44722.66667</v>
      </c>
      <c r="F306" s="1">
        <f>IFERROR(__xludf.DUMMYFUNCTION("""COMPUTED_VALUE"""),100.46)</f>
        <v>100.46</v>
      </c>
      <c r="G306" s="4">
        <f>IFERROR(__xludf.DUMMYFUNCTION("""COMPUTED_VALUE"""),44722.66666666667)</f>
        <v>44722.66667</v>
      </c>
      <c r="H306" s="1">
        <f>IFERROR(__xludf.DUMMYFUNCTION("""COMPUTED_VALUE"""),175.4)</f>
        <v>175.4</v>
      </c>
      <c r="I306" s="5">
        <f t="shared" si="1"/>
        <v>-0.0382848392</v>
      </c>
      <c r="K306" s="5">
        <f t="shared" si="2"/>
        <v>-0.04241274359</v>
      </c>
      <c r="L306" s="5">
        <f t="shared" si="3"/>
        <v>-0.04588891101</v>
      </c>
      <c r="M306" s="5">
        <f t="shared" si="4"/>
        <v>-0.04600912201</v>
      </c>
      <c r="Q306" s="5"/>
    </row>
    <row r="307">
      <c r="A307" s="4">
        <f>IFERROR(__xludf.DUMMYFUNCTION("""COMPUTED_VALUE"""),44725.66666666667)</f>
        <v>44725.66667</v>
      </c>
      <c r="B307" s="1">
        <f>IFERROR(__xludf.DUMMYFUNCTION("""COMPUTED_VALUE"""),131.88)</f>
        <v>131.88</v>
      </c>
      <c r="C307" s="4">
        <f>IFERROR(__xludf.DUMMYFUNCTION("""COMPUTED_VALUE"""),44725.66666666667)</f>
        <v>44725.66667</v>
      </c>
      <c r="D307" s="1">
        <f>IFERROR(__xludf.DUMMYFUNCTION("""COMPUTED_VALUE"""),242.26)</f>
        <v>242.26</v>
      </c>
      <c r="E307" s="4">
        <f>IFERROR(__xludf.DUMMYFUNCTION("""COMPUTED_VALUE"""),44725.66666666667)</f>
        <v>44725.66667</v>
      </c>
      <c r="F307" s="1">
        <f>IFERROR(__xludf.DUMMYFUNCTION("""COMPUTED_VALUE"""),95.85)</f>
        <v>95.85</v>
      </c>
      <c r="G307" s="4">
        <f>IFERROR(__xludf.DUMMYFUNCTION("""COMPUTED_VALUE"""),44725.66666666667)</f>
        <v>44725.66667</v>
      </c>
      <c r="H307" s="1">
        <f>IFERROR(__xludf.DUMMYFUNCTION("""COMPUTED_VALUE"""),167.33)</f>
        <v>167.33</v>
      </c>
      <c r="I307" s="5">
        <f t="shared" si="1"/>
        <v>0.006672732787</v>
      </c>
      <c r="K307" s="5">
        <f t="shared" si="2"/>
        <v>0.009204986378</v>
      </c>
      <c r="L307" s="5">
        <f t="shared" si="3"/>
        <v>0.002608242045</v>
      </c>
      <c r="M307" s="5">
        <f t="shared" si="4"/>
        <v>0.001314767226</v>
      </c>
      <c r="Q307" s="5"/>
    </row>
    <row r="308">
      <c r="A308" s="4">
        <f>IFERROR(__xludf.DUMMYFUNCTION("""COMPUTED_VALUE"""),44726.66666666667)</f>
        <v>44726.66667</v>
      </c>
      <c r="B308" s="1">
        <f>IFERROR(__xludf.DUMMYFUNCTION("""COMPUTED_VALUE"""),132.76)</f>
        <v>132.76</v>
      </c>
      <c r="C308" s="4">
        <f>IFERROR(__xludf.DUMMYFUNCTION("""COMPUTED_VALUE"""),44726.66666666667)</f>
        <v>44726.66667</v>
      </c>
      <c r="D308" s="1">
        <f>IFERROR(__xludf.DUMMYFUNCTION("""COMPUTED_VALUE"""),244.49)</f>
        <v>244.49</v>
      </c>
      <c r="E308" s="4">
        <f>IFERROR(__xludf.DUMMYFUNCTION("""COMPUTED_VALUE"""),44726.66666666667)</f>
        <v>44726.66667</v>
      </c>
      <c r="F308" s="1">
        <f>IFERROR(__xludf.DUMMYFUNCTION("""COMPUTED_VALUE"""),96.1)</f>
        <v>96.1</v>
      </c>
      <c r="G308" s="4">
        <f>IFERROR(__xludf.DUMMYFUNCTION("""COMPUTED_VALUE"""),44726.66666666667)</f>
        <v>44726.66667</v>
      </c>
      <c r="H308" s="1">
        <f>IFERROR(__xludf.DUMMYFUNCTION("""COMPUTED_VALUE"""),167.55)</f>
        <v>167.55</v>
      </c>
      <c r="I308" s="5">
        <f t="shared" si="1"/>
        <v>0.02011147936</v>
      </c>
      <c r="K308" s="5">
        <f t="shared" si="2"/>
        <v>0.0297353675</v>
      </c>
      <c r="L308" s="5">
        <f t="shared" si="3"/>
        <v>-0.01259105099</v>
      </c>
      <c r="M308" s="5">
        <f t="shared" si="4"/>
        <v>-0.01963592957</v>
      </c>
      <c r="Q308" s="5"/>
    </row>
    <row r="309">
      <c r="A309" s="4">
        <f>IFERROR(__xludf.DUMMYFUNCTION("""COMPUTED_VALUE"""),44727.66666666667)</f>
        <v>44727.66667</v>
      </c>
      <c r="B309" s="1">
        <f>IFERROR(__xludf.DUMMYFUNCTION("""COMPUTED_VALUE"""),135.43)</f>
        <v>135.43</v>
      </c>
      <c r="C309" s="4">
        <f>IFERROR(__xludf.DUMMYFUNCTION("""COMPUTED_VALUE"""),44727.66666666667)</f>
        <v>44727.66667</v>
      </c>
      <c r="D309" s="1">
        <f>IFERROR(__xludf.DUMMYFUNCTION("""COMPUTED_VALUE"""),251.76)</f>
        <v>251.76</v>
      </c>
      <c r="E309" s="4">
        <f>IFERROR(__xludf.DUMMYFUNCTION("""COMPUTED_VALUE"""),44727.66666666667)</f>
        <v>44727.66667</v>
      </c>
      <c r="F309" s="1">
        <f>IFERROR(__xludf.DUMMYFUNCTION("""COMPUTED_VALUE"""),94.89)</f>
        <v>94.89</v>
      </c>
      <c r="G309" s="4">
        <f>IFERROR(__xludf.DUMMYFUNCTION("""COMPUTED_VALUE"""),44727.66666666667)</f>
        <v>44727.66667</v>
      </c>
      <c r="H309" s="1">
        <f>IFERROR(__xludf.DUMMYFUNCTION("""COMPUTED_VALUE"""),164.26)</f>
        <v>164.26</v>
      </c>
      <c r="I309" s="5">
        <f t="shared" si="1"/>
        <v>-0.03965148047</v>
      </c>
      <c r="K309" s="5">
        <f t="shared" si="2"/>
        <v>-0.02697013028</v>
      </c>
      <c r="L309" s="5">
        <f t="shared" si="3"/>
        <v>-0.036884814</v>
      </c>
      <c r="M309" s="5">
        <f t="shared" si="4"/>
        <v>-0.05345184464</v>
      </c>
      <c r="Q309" s="5"/>
    </row>
    <row r="310">
      <c r="A310" s="4">
        <f>IFERROR(__xludf.DUMMYFUNCTION("""COMPUTED_VALUE"""),44728.66666666667)</f>
        <v>44728.66667</v>
      </c>
      <c r="B310" s="1">
        <f>IFERROR(__xludf.DUMMYFUNCTION("""COMPUTED_VALUE"""),130.06)</f>
        <v>130.06</v>
      </c>
      <c r="C310" s="4">
        <f>IFERROR(__xludf.DUMMYFUNCTION("""COMPUTED_VALUE"""),44728.66666666667)</f>
        <v>44728.66667</v>
      </c>
      <c r="D310" s="1">
        <f>IFERROR(__xludf.DUMMYFUNCTION("""COMPUTED_VALUE"""),244.97)</f>
        <v>244.97</v>
      </c>
      <c r="E310" s="4">
        <f>IFERROR(__xludf.DUMMYFUNCTION("""COMPUTED_VALUE"""),44728.66666666667)</f>
        <v>44728.66667</v>
      </c>
      <c r="F310" s="1">
        <f>IFERROR(__xludf.DUMMYFUNCTION("""COMPUTED_VALUE"""),91.39)</f>
        <v>91.39</v>
      </c>
      <c r="G310" s="4">
        <f>IFERROR(__xludf.DUMMYFUNCTION("""COMPUTED_VALUE"""),44728.66666666667)</f>
        <v>44728.66667</v>
      </c>
      <c r="H310" s="1">
        <f>IFERROR(__xludf.DUMMYFUNCTION("""COMPUTED_VALUE"""),155.48)</f>
        <v>155.48</v>
      </c>
      <c r="I310" s="5">
        <f t="shared" si="1"/>
        <v>0.01153313855</v>
      </c>
      <c r="K310" s="5">
        <f t="shared" si="2"/>
        <v>0.01094011512</v>
      </c>
      <c r="L310" s="5">
        <f t="shared" si="3"/>
        <v>-0.0576649524</v>
      </c>
      <c r="M310" s="5">
        <f t="shared" si="4"/>
        <v>-0.0456650373</v>
      </c>
      <c r="Q310" s="5"/>
    </row>
    <row r="311">
      <c r="A311" s="4">
        <f>IFERROR(__xludf.DUMMYFUNCTION("""COMPUTED_VALUE"""),44729.66666666667)</f>
        <v>44729.66667</v>
      </c>
      <c r="B311" s="1">
        <f>IFERROR(__xludf.DUMMYFUNCTION("""COMPUTED_VALUE"""),131.56)</f>
        <v>131.56</v>
      </c>
      <c r="C311" s="4">
        <f>IFERROR(__xludf.DUMMYFUNCTION("""COMPUTED_VALUE"""),44729.66666666667)</f>
        <v>44729.66667</v>
      </c>
      <c r="D311" s="1">
        <f>IFERROR(__xludf.DUMMYFUNCTION("""COMPUTED_VALUE"""),247.65)</f>
        <v>247.65</v>
      </c>
      <c r="E311" s="4">
        <f>IFERROR(__xludf.DUMMYFUNCTION("""COMPUTED_VALUE"""),44729.66666666667)</f>
        <v>44729.66667</v>
      </c>
      <c r="F311" s="1">
        <f>IFERROR(__xludf.DUMMYFUNCTION("""COMPUTED_VALUE"""),86.12)</f>
        <v>86.12</v>
      </c>
      <c r="G311" s="4">
        <f>IFERROR(__xludf.DUMMYFUNCTION("""COMPUTED_VALUE"""),44729.66666666667)</f>
        <v>44729.66667</v>
      </c>
      <c r="H311" s="1">
        <f>IFERROR(__xludf.DUMMYFUNCTION("""COMPUTED_VALUE"""),148.38)</f>
        <v>148.38</v>
      </c>
      <c r="I311" s="5">
        <f t="shared" si="1"/>
        <v>0.03276071754</v>
      </c>
      <c r="K311" s="5">
        <f t="shared" si="2"/>
        <v>0.02459115687</v>
      </c>
      <c r="L311" s="5">
        <f t="shared" si="3"/>
        <v>0.06223873665</v>
      </c>
      <c r="M311" s="5">
        <f t="shared" si="4"/>
        <v>0.04185200162</v>
      </c>
      <c r="Q311" s="5"/>
    </row>
    <row r="312">
      <c r="A312" s="4">
        <f>IFERROR(__xludf.DUMMYFUNCTION("""COMPUTED_VALUE"""),44733.66666666667)</f>
        <v>44733.66667</v>
      </c>
      <c r="B312" s="1">
        <f>IFERROR(__xludf.DUMMYFUNCTION("""COMPUTED_VALUE"""),135.87)</f>
        <v>135.87</v>
      </c>
      <c r="C312" s="4">
        <f>IFERROR(__xludf.DUMMYFUNCTION("""COMPUTED_VALUE"""),44733.66666666667)</f>
        <v>44733.66667</v>
      </c>
      <c r="D312" s="1">
        <f>IFERROR(__xludf.DUMMYFUNCTION("""COMPUTED_VALUE"""),253.74)</f>
        <v>253.74</v>
      </c>
      <c r="E312" s="4">
        <f>IFERROR(__xludf.DUMMYFUNCTION("""COMPUTED_VALUE"""),44733.66666666667)</f>
        <v>44733.66667</v>
      </c>
      <c r="F312" s="1">
        <f>IFERROR(__xludf.DUMMYFUNCTION("""COMPUTED_VALUE"""),91.48)</f>
        <v>91.48</v>
      </c>
      <c r="G312" s="4">
        <f>IFERROR(__xludf.DUMMYFUNCTION("""COMPUTED_VALUE"""),44733.66666666667)</f>
        <v>44733.66667</v>
      </c>
      <c r="H312" s="1">
        <f>IFERROR(__xludf.DUMMYFUNCTION("""COMPUTED_VALUE"""),154.59)</f>
        <v>154.59</v>
      </c>
      <c r="I312" s="5">
        <f t="shared" si="1"/>
        <v>-0.003827187753</v>
      </c>
      <c r="K312" s="5">
        <f t="shared" si="2"/>
        <v>-0.002404035627</v>
      </c>
      <c r="L312" s="5">
        <f t="shared" si="3"/>
        <v>-0.03957149104</v>
      </c>
      <c r="M312" s="5">
        <f t="shared" si="4"/>
        <v>-0.0434698234</v>
      </c>
      <c r="Q312" s="5"/>
    </row>
    <row r="313">
      <c r="A313" s="4">
        <f>IFERROR(__xludf.DUMMYFUNCTION("""COMPUTED_VALUE"""),44734.66666666667)</f>
        <v>44734.66667</v>
      </c>
      <c r="B313" s="1">
        <f>IFERROR(__xludf.DUMMYFUNCTION("""COMPUTED_VALUE"""),135.35)</f>
        <v>135.35</v>
      </c>
      <c r="C313" s="4">
        <f>IFERROR(__xludf.DUMMYFUNCTION("""COMPUTED_VALUE"""),44734.66666666667)</f>
        <v>44734.66667</v>
      </c>
      <c r="D313" s="1">
        <f>IFERROR(__xludf.DUMMYFUNCTION("""COMPUTED_VALUE"""),253.13)</f>
        <v>253.13</v>
      </c>
      <c r="E313" s="4">
        <f>IFERROR(__xludf.DUMMYFUNCTION("""COMPUTED_VALUE"""),44734.66666666667)</f>
        <v>44734.66667</v>
      </c>
      <c r="F313" s="1">
        <f>IFERROR(__xludf.DUMMYFUNCTION("""COMPUTED_VALUE"""),87.86)</f>
        <v>87.86</v>
      </c>
      <c r="G313" s="4">
        <f>IFERROR(__xludf.DUMMYFUNCTION("""COMPUTED_VALUE"""),44734.66666666667)</f>
        <v>44734.66667</v>
      </c>
      <c r="H313" s="1">
        <f>IFERROR(__xludf.DUMMYFUNCTION("""COMPUTED_VALUE"""),147.87)</f>
        <v>147.87</v>
      </c>
      <c r="I313" s="5">
        <f t="shared" si="1"/>
        <v>0.02157369782</v>
      </c>
      <c r="K313" s="5">
        <f t="shared" si="2"/>
        <v>0.02263658989</v>
      </c>
      <c r="L313" s="5">
        <f t="shared" si="3"/>
        <v>-0.03016162076</v>
      </c>
      <c r="M313" s="5">
        <f t="shared" si="4"/>
        <v>-0.03678907148</v>
      </c>
      <c r="Q313" s="5"/>
    </row>
    <row r="314">
      <c r="A314" s="4">
        <f>IFERROR(__xludf.DUMMYFUNCTION("""COMPUTED_VALUE"""),44735.66666666667)</f>
        <v>44735.66667</v>
      </c>
      <c r="B314" s="1">
        <f>IFERROR(__xludf.DUMMYFUNCTION("""COMPUTED_VALUE"""),138.27)</f>
        <v>138.27</v>
      </c>
      <c r="C314" s="4">
        <f>IFERROR(__xludf.DUMMYFUNCTION("""COMPUTED_VALUE"""),44735.66666666667)</f>
        <v>44735.66667</v>
      </c>
      <c r="D314" s="1">
        <f>IFERROR(__xludf.DUMMYFUNCTION("""COMPUTED_VALUE"""),258.86)</f>
        <v>258.86</v>
      </c>
      <c r="E314" s="4">
        <f>IFERROR(__xludf.DUMMYFUNCTION("""COMPUTED_VALUE"""),44735.66666666667)</f>
        <v>44735.66667</v>
      </c>
      <c r="F314" s="1">
        <f>IFERROR(__xludf.DUMMYFUNCTION("""COMPUTED_VALUE"""),85.21)</f>
        <v>85.21</v>
      </c>
      <c r="G314" s="4">
        <f>IFERROR(__xludf.DUMMYFUNCTION("""COMPUTED_VALUE"""),44735.66666666667)</f>
        <v>44735.66667</v>
      </c>
      <c r="H314" s="1">
        <f>IFERROR(__xludf.DUMMYFUNCTION("""COMPUTED_VALUE"""),142.43)</f>
        <v>142.43</v>
      </c>
      <c r="I314" s="5">
        <f t="shared" si="1"/>
        <v>0.02451724886</v>
      </c>
      <c r="K314" s="5">
        <f t="shared" si="2"/>
        <v>0.03414973345</v>
      </c>
      <c r="L314" s="5">
        <f t="shared" si="3"/>
        <v>0.01983335289</v>
      </c>
      <c r="M314" s="5">
        <f t="shared" si="4"/>
        <v>0.01642912308</v>
      </c>
      <c r="Q314" s="5"/>
    </row>
    <row r="315">
      <c r="A315" s="4">
        <f>IFERROR(__xludf.DUMMYFUNCTION("""COMPUTED_VALUE"""),44736.66666666667)</f>
        <v>44736.66667</v>
      </c>
      <c r="B315" s="1">
        <f>IFERROR(__xludf.DUMMYFUNCTION("""COMPUTED_VALUE"""),141.66)</f>
        <v>141.66</v>
      </c>
      <c r="C315" s="4">
        <f>IFERROR(__xludf.DUMMYFUNCTION("""COMPUTED_VALUE"""),44736.66666666667)</f>
        <v>44736.66667</v>
      </c>
      <c r="D315" s="1">
        <f>IFERROR(__xludf.DUMMYFUNCTION("""COMPUTED_VALUE"""),267.7)</f>
        <v>267.7</v>
      </c>
      <c r="E315" s="4">
        <f>IFERROR(__xludf.DUMMYFUNCTION("""COMPUTED_VALUE"""),44736.66666666667)</f>
        <v>44736.66667</v>
      </c>
      <c r="F315" s="1">
        <f>IFERROR(__xludf.DUMMYFUNCTION("""COMPUTED_VALUE"""),86.9)</f>
        <v>86.9</v>
      </c>
      <c r="G315" s="4">
        <f>IFERROR(__xludf.DUMMYFUNCTION("""COMPUTED_VALUE"""),44736.66666666667)</f>
        <v>44736.66667</v>
      </c>
      <c r="H315" s="1">
        <f>IFERROR(__xludf.DUMMYFUNCTION("""COMPUTED_VALUE"""),144.77)</f>
        <v>144.77</v>
      </c>
      <c r="I315" s="5">
        <f t="shared" si="1"/>
        <v>0</v>
      </c>
      <c r="K315" s="5">
        <f t="shared" si="2"/>
        <v>-0.0104968248</v>
      </c>
      <c r="L315" s="5">
        <f t="shared" si="3"/>
        <v>0.02451093211</v>
      </c>
      <c r="M315" s="5">
        <f t="shared" si="4"/>
        <v>0.01934102369</v>
      </c>
      <c r="Q315" s="5"/>
    </row>
    <row r="316">
      <c r="A316" s="4">
        <f>IFERROR(__xludf.DUMMYFUNCTION("""COMPUTED_VALUE"""),44739.66666666667)</f>
        <v>44739.66667</v>
      </c>
      <c r="B316" s="1">
        <f>IFERROR(__xludf.DUMMYFUNCTION("""COMPUTED_VALUE"""),141.66)</f>
        <v>141.66</v>
      </c>
      <c r="C316" s="4">
        <f>IFERROR(__xludf.DUMMYFUNCTION("""COMPUTED_VALUE"""),44739.66666666667)</f>
        <v>44739.66667</v>
      </c>
      <c r="D316" s="1">
        <f>IFERROR(__xludf.DUMMYFUNCTION("""COMPUTED_VALUE"""),264.89)</f>
        <v>264.89</v>
      </c>
      <c r="E316" s="4">
        <f>IFERROR(__xludf.DUMMYFUNCTION("""COMPUTED_VALUE"""),44739.66666666667)</f>
        <v>44739.66667</v>
      </c>
      <c r="F316" s="1">
        <f>IFERROR(__xludf.DUMMYFUNCTION("""COMPUTED_VALUE"""),89.03)</f>
        <v>89.03</v>
      </c>
      <c r="G316" s="4">
        <f>IFERROR(__xludf.DUMMYFUNCTION("""COMPUTED_VALUE"""),44739.66666666667)</f>
        <v>44739.66667</v>
      </c>
      <c r="H316" s="1">
        <f>IFERROR(__xludf.DUMMYFUNCTION("""COMPUTED_VALUE"""),147.57)</f>
        <v>147.57</v>
      </c>
      <c r="I316" s="5">
        <f t="shared" si="1"/>
        <v>-0.02978963716</v>
      </c>
      <c r="K316" s="5">
        <f t="shared" si="2"/>
        <v>-0.0317490279</v>
      </c>
      <c r="L316" s="5">
        <f t="shared" si="3"/>
        <v>0.02774345726</v>
      </c>
      <c r="M316" s="5">
        <f t="shared" si="4"/>
        <v>0.01606017483</v>
      </c>
      <c r="Q316" s="5"/>
    </row>
    <row r="317">
      <c r="A317" s="4">
        <f>IFERROR(__xludf.DUMMYFUNCTION("""COMPUTED_VALUE"""),44740.66666666667)</f>
        <v>44740.66667</v>
      </c>
      <c r="B317" s="1">
        <f>IFERROR(__xludf.DUMMYFUNCTION("""COMPUTED_VALUE"""),137.44)</f>
        <v>137.44</v>
      </c>
      <c r="C317" s="4">
        <f>IFERROR(__xludf.DUMMYFUNCTION("""COMPUTED_VALUE"""),44740.66666666667)</f>
        <v>44740.66667</v>
      </c>
      <c r="D317" s="1">
        <f>IFERROR(__xludf.DUMMYFUNCTION("""COMPUTED_VALUE"""),256.48)</f>
        <v>256.48</v>
      </c>
      <c r="E317" s="4">
        <f>IFERROR(__xludf.DUMMYFUNCTION("""COMPUTED_VALUE"""),44740.66666666667)</f>
        <v>44740.66667</v>
      </c>
      <c r="F317" s="1">
        <f>IFERROR(__xludf.DUMMYFUNCTION("""COMPUTED_VALUE"""),91.5)</f>
        <v>91.5</v>
      </c>
      <c r="G317" s="4">
        <f>IFERROR(__xludf.DUMMYFUNCTION("""COMPUTED_VALUE"""),44740.66666666667)</f>
        <v>44740.66667</v>
      </c>
      <c r="H317" s="1">
        <f>IFERROR(__xludf.DUMMYFUNCTION("""COMPUTED_VALUE"""),149.94)</f>
        <v>149.94</v>
      </c>
      <c r="I317" s="5">
        <f t="shared" si="1"/>
        <v>0.01302386496</v>
      </c>
      <c r="K317" s="5">
        <f t="shared" si="2"/>
        <v>0.01473799127</v>
      </c>
      <c r="L317" s="5">
        <f t="shared" si="3"/>
        <v>-0.03693989071</v>
      </c>
      <c r="M317" s="5">
        <f t="shared" si="4"/>
        <v>-0.01974122983</v>
      </c>
      <c r="Q317" s="5"/>
    </row>
    <row r="318">
      <c r="A318" s="4">
        <f>IFERROR(__xludf.DUMMYFUNCTION("""COMPUTED_VALUE"""),44741.66666666667)</f>
        <v>44741.66667</v>
      </c>
      <c r="B318" s="1">
        <f>IFERROR(__xludf.DUMMYFUNCTION("""COMPUTED_VALUE"""),139.23)</f>
        <v>139.23</v>
      </c>
      <c r="C318" s="4">
        <f>IFERROR(__xludf.DUMMYFUNCTION("""COMPUTED_VALUE"""),44741.66666666667)</f>
        <v>44741.66667</v>
      </c>
      <c r="D318" s="1">
        <f>IFERROR(__xludf.DUMMYFUNCTION("""COMPUTED_VALUE"""),260.26)</f>
        <v>260.26</v>
      </c>
      <c r="E318" s="4">
        <f>IFERROR(__xludf.DUMMYFUNCTION("""COMPUTED_VALUE"""),44741.66666666667)</f>
        <v>44741.66667</v>
      </c>
      <c r="F318" s="1">
        <f>IFERROR(__xludf.DUMMYFUNCTION("""COMPUTED_VALUE"""),88.12)</f>
        <v>88.12</v>
      </c>
      <c r="G318" s="4">
        <f>IFERROR(__xludf.DUMMYFUNCTION("""COMPUTED_VALUE"""),44741.66666666667)</f>
        <v>44741.66667</v>
      </c>
      <c r="H318" s="1">
        <f>IFERROR(__xludf.DUMMYFUNCTION("""COMPUTED_VALUE"""),146.98)</f>
        <v>146.98</v>
      </c>
      <c r="I318" s="5">
        <f t="shared" si="1"/>
        <v>-0.01802772391</v>
      </c>
      <c r="K318" s="5">
        <f t="shared" si="2"/>
        <v>-0.01317912856</v>
      </c>
      <c r="L318" s="5">
        <f t="shared" si="3"/>
        <v>-0.02814344076</v>
      </c>
      <c r="M318" s="5">
        <f t="shared" si="4"/>
        <v>-0.01496802286</v>
      </c>
      <c r="Q318" s="5"/>
    </row>
    <row r="319">
      <c r="A319" s="4">
        <f>IFERROR(__xludf.DUMMYFUNCTION("""COMPUTED_VALUE"""),44742.66666666667)</f>
        <v>44742.66667</v>
      </c>
      <c r="B319" s="1">
        <f>IFERROR(__xludf.DUMMYFUNCTION("""COMPUTED_VALUE"""),136.72)</f>
        <v>136.72</v>
      </c>
      <c r="C319" s="4">
        <f>IFERROR(__xludf.DUMMYFUNCTION("""COMPUTED_VALUE"""),44742.66666666667)</f>
        <v>44742.66667</v>
      </c>
      <c r="D319" s="1">
        <f>IFERROR(__xludf.DUMMYFUNCTION("""COMPUTED_VALUE"""),256.83)</f>
        <v>256.83</v>
      </c>
      <c r="E319" s="4">
        <f>IFERROR(__xludf.DUMMYFUNCTION("""COMPUTED_VALUE"""),44742.66666666667)</f>
        <v>44742.66667</v>
      </c>
      <c r="F319" s="1">
        <f>IFERROR(__xludf.DUMMYFUNCTION("""COMPUTED_VALUE"""),85.64)</f>
        <v>85.64</v>
      </c>
      <c r="G319" s="4">
        <f>IFERROR(__xludf.DUMMYFUNCTION("""COMPUTED_VALUE"""),44742.66666666667)</f>
        <v>44742.66667</v>
      </c>
      <c r="H319" s="1">
        <f>IFERROR(__xludf.DUMMYFUNCTION("""COMPUTED_VALUE"""),144.78)</f>
        <v>144.78</v>
      </c>
      <c r="I319" s="5">
        <f t="shared" si="1"/>
        <v>0.01616442364</v>
      </c>
      <c r="K319" s="5">
        <f t="shared" si="2"/>
        <v>0.01070747187</v>
      </c>
      <c r="L319" s="5">
        <f t="shared" si="3"/>
        <v>0.02230266231</v>
      </c>
      <c r="M319" s="5">
        <f t="shared" si="4"/>
        <v>0.01194916425</v>
      </c>
      <c r="Q319" s="5"/>
    </row>
    <row r="320">
      <c r="A320" s="4">
        <f>IFERROR(__xludf.DUMMYFUNCTION("""COMPUTED_VALUE"""),44743.66666666667)</f>
        <v>44743.66667</v>
      </c>
      <c r="B320" s="1">
        <f>IFERROR(__xludf.DUMMYFUNCTION("""COMPUTED_VALUE"""),138.93)</f>
        <v>138.93</v>
      </c>
      <c r="C320" s="4">
        <f>IFERROR(__xludf.DUMMYFUNCTION("""COMPUTED_VALUE"""),44743.66666666667)</f>
        <v>44743.66667</v>
      </c>
      <c r="D320" s="1">
        <f>IFERROR(__xludf.DUMMYFUNCTION("""COMPUTED_VALUE"""),259.58)</f>
        <v>259.58</v>
      </c>
      <c r="E320" s="4">
        <f>IFERROR(__xludf.DUMMYFUNCTION("""COMPUTED_VALUE"""),44743.66666666667)</f>
        <v>44743.66667</v>
      </c>
      <c r="F320" s="1">
        <f>IFERROR(__xludf.DUMMYFUNCTION("""COMPUTED_VALUE"""),87.55)</f>
        <v>87.55</v>
      </c>
      <c r="G320" s="4">
        <f>IFERROR(__xludf.DUMMYFUNCTION("""COMPUTED_VALUE"""),44743.66666666667)</f>
        <v>44743.66667</v>
      </c>
      <c r="H320" s="1">
        <f>IFERROR(__xludf.DUMMYFUNCTION("""COMPUTED_VALUE"""),146.51)</f>
        <v>146.51</v>
      </c>
      <c r="I320" s="5">
        <f t="shared" si="1"/>
        <v>0.0189303966</v>
      </c>
      <c r="K320" s="5">
        <f t="shared" si="2"/>
        <v>0.01259727252</v>
      </c>
      <c r="L320" s="5">
        <f t="shared" si="3"/>
        <v>-0.03129640206</v>
      </c>
      <c r="M320" s="5">
        <f t="shared" si="4"/>
        <v>-0.02627806976</v>
      </c>
      <c r="Q320" s="5"/>
    </row>
    <row r="321">
      <c r="A321" s="4">
        <f>IFERROR(__xludf.DUMMYFUNCTION("""COMPUTED_VALUE"""),44747.66666666667)</f>
        <v>44747.66667</v>
      </c>
      <c r="B321" s="1">
        <f>IFERROR(__xludf.DUMMYFUNCTION("""COMPUTED_VALUE"""),141.56)</f>
        <v>141.56</v>
      </c>
      <c r="C321" s="4">
        <f>IFERROR(__xludf.DUMMYFUNCTION("""COMPUTED_VALUE"""),44747.66666666667)</f>
        <v>44747.66667</v>
      </c>
      <c r="D321" s="1">
        <f>IFERROR(__xludf.DUMMYFUNCTION("""COMPUTED_VALUE"""),262.85)</f>
        <v>262.85</v>
      </c>
      <c r="E321" s="4">
        <f>IFERROR(__xludf.DUMMYFUNCTION("""COMPUTED_VALUE"""),44747.66666666667)</f>
        <v>44747.66667</v>
      </c>
      <c r="F321" s="1">
        <f>IFERROR(__xludf.DUMMYFUNCTION("""COMPUTED_VALUE"""),84.81)</f>
        <v>84.81</v>
      </c>
      <c r="G321" s="4">
        <f>IFERROR(__xludf.DUMMYFUNCTION("""COMPUTED_VALUE"""),44747.66666666667)</f>
        <v>44747.66667</v>
      </c>
      <c r="H321" s="1">
        <f>IFERROR(__xludf.DUMMYFUNCTION("""COMPUTED_VALUE"""),142.66)</f>
        <v>142.66</v>
      </c>
      <c r="I321" s="5">
        <f t="shared" si="1"/>
        <v>0.009607233682</v>
      </c>
      <c r="K321" s="5">
        <f t="shared" si="2"/>
        <v>0.01278295606</v>
      </c>
      <c r="L321" s="5">
        <f t="shared" si="3"/>
        <v>-0.01804032543</v>
      </c>
      <c r="M321" s="5">
        <f t="shared" si="4"/>
        <v>-0.0131781859</v>
      </c>
      <c r="Q321" s="5"/>
    </row>
    <row r="322">
      <c r="A322" s="4">
        <f>IFERROR(__xludf.DUMMYFUNCTION("""COMPUTED_VALUE"""),44748.66666666667)</f>
        <v>44748.66667</v>
      </c>
      <c r="B322" s="1">
        <f>IFERROR(__xludf.DUMMYFUNCTION("""COMPUTED_VALUE"""),142.92)</f>
        <v>142.92</v>
      </c>
      <c r="C322" s="4">
        <f>IFERROR(__xludf.DUMMYFUNCTION("""COMPUTED_VALUE"""),44748.66666666667)</f>
        <v>44748.66667</v>
      </c>
      <c r="D322" s="1">
        <f>IFERROR(__xludf.DUMMYFUNCTION("""COMPUTED_VALUE"""),266.21)</f>
        <v>266.21</v>
      </c>
      <c r="E322" s="4">
        <f>IFERROR(__xludf.DUMMYFUNCTION("""COMPUTED_VALUE"""),44748.66666666667)</f>
        <v>44748.66667</v>
      </c>
      <c r="F322" s="1">
        <f>IFERROR(__xludf.DUMMYFUNCTION("""COMPUTED_VALUE"""),83.28)</f>
        <v>83.28</v>
      </c>
      <c r="G322" s="4">
        <f>IFERROR(__xludf.DUMMYFUNCTION("""COMPUTED_VALUE"""),44748.66666666667)</f>
        <v>44748.66667</v>
      </c>
      <c r="H322" s="1">
        <f>IFERROR(__xludf.DUMMYFUNCTION("""COMPUTED_VALUE"""),140.78)</f>
        <v>140.78</v>
      </c>
      <c r="I322" s="5">
        <f t="shared" si="1"/>
        <v>0.02399944025</v>
      </c>
      <c r="K322" s="5">
        <f t="shared" si="2"/>
        <v>0.008226588032</v>
      </c>
      <c r="L322" s="5">
        <f t="shared" si="3"/>
        <v>0.03194044188</v>
      </c>
      <c r="M322" s="5">
        <f t="shared" si="4"/>
        <v>0.0194629919</v>
      </c>
      <c r="Q322" s="5"/>
    </row>
    <row r="323">
      <c r="A323" s="4">
        <f>IFERROR(__xludf.DUMMYFUNCTION("""COMPUTED_VALUE"""),44749.66666666667)</f>
        <v>44749.66667</v>
      </c>
      <c r="B323" s="1">
        <f>IFERROR(__xludf.DUMMYFUNCTION("""COMPUTED_VALUE"""),146.35)</f>
        <v>146.35</v>
      </c>
      <c r="C323" s="4">
        <f>IFERROR(__xludf.DUMMYFUNCTION("""COMPUTED_VALUE"""),44749.66666666667)</f>
        <v>44749.66667</v>
      </c>
      <c r="D323" s="1">
        <f>IFERROR(__xludf.DUMMYFUNCTION("""COMPUTED_VALUE"""),268.4)</f>
        <v>268.4</v>
      </c>
      <c r="E323" s="4">
        <f>IFERROR(__xludf.DUMMYFUNCTION("""COMPUTED_VALUE"""),44749.66666666667)</f>
        <v>44749.66667</v>
      </c>
      <c r="F323" s="1">
        <f>IFERROR(__xludf.DUMMYFUNCTION("""COMPUTED_VALUE"""),85.94)</f>
        <v>85.94</v>
      </c>
      <c r="G323" s="4">
        <f>IFERROR(__xludf.DUMMYFUNCTION("""COMPUTED_VALUE"""),44749.66666666667)</f>
        <v>44749.66667</v>
      </c>
      <c r="H323" s="1">
        <f>IFERROR(__xludf.DUMMYFUNCTION("""COMPUTED_VALUE"""),143.52)</f>
        <v>143.52</v>
      </c>
      <c r="I323" s="5">
        <f t="shared" si="1"/>
        <v>0.004714724974</v>
      </c>
      <c r="K323" s="5">
        <f t="shared" si="2"/>
        <v>-0.002757078987</v>
      </c>
      <c r="L323" s="5">
        <f t="shared" si="3"/>
        <v>0.001629043519</v>
      </c>
      <c r="M323" s="5">
        <f t="shared" si="4"/>
        <v>-0.005225752508</v>
      </c>
      <c r="Q323" s="5"/>
    </row>
    <row r="324">
      <c r="A324" s="4">
        <f>IFERROR(__xludf.DUMMYFUNCTION("""COMPUTED_VALUE"""),44750.66666666667)</f>
        <v>44750.66667</v>
      </c>
      <c r="B324" s="1">
        <f>IFERROR(__xludf.DUMMYFUNCTION("""COMPUTED_VALUE"""),147.04)</f>
        <v>147.04</v>
      </c>
      <c r="C324" s="4">
        <f>IFERROR(__xludf.DUMMYFUNCTION("""COMPUTED_VALUE"""),44750.66666666667)</f>
        <v>44750.66667</v>
      </c>
      <c r="D324" s="1">
        <f>IFERROR(__xludf.DUMMYFUNCTION("""COMPUTED_VALUE"""),267.66)</f>
        <v>267.66</v>
      </c>
      <c r="E324" s="4">
        <f>IFERROR(__xludf.DUMMYFUNCTION("""COMPUTED_VALUE"""),44750.66666666667)</f>
        <v>44750.66667</v>
      </c>
      <c r="F324" s="1">
        <f>IFERROR(__xludf.DUMMYFUNCTION("""COMPUTED_VALUE"""),86.08)</f>
        <v>86.08</v>
      </c>
      <c r="G324" s="4">
        <f>IFERROR(__xludf.DUMMYFUNCTION("""COMPUTED_VALUE"""),44750.66666666667)</f>
        <v>44750.66667</v>
      </c>
      <c r="H324" s="1">
        <f>IFERROR(__xludf.DUMMYFUNCTION("""COMPUTED_VALUE"""),142.77)</f>
        <v>142.77</v>
      </c>
      <c r="I324" s="5">
        <f t="shared" si="1"/>
        <v>-0.01475788901</v>
      </c>
      <c r="K324" s="5">
        <f t="shared" si="2"/>
        <v>-0.01176866174</v>
      </c>
      <c r="L324" s="5">
        <f t="shared" si="3"/>
        <v>-0.005111524164</v>
      </c>
      <c r="M324" s="5">
        <f t="shared" si="4"/>
        <v>-0.008825383484</v>
      </c>
      <c r="Q324" s="5"/>
    </row>
    <row r="325">
      <c r="A325" s="4">
        <f>IFERROR(__xludf.DUMMYFUNCTION("""COMPUTED_VALUE"""),44753.66666666667)</f>
        <v>44753.66667</v>
      </c>
      <c r="B325" s="1">
        <f>IFERROR(__xludf.DUMMYFUNCTION("""COMPUTED_VALUE"""),144.87)</f>
        <v>144.87</v>
      </c>
      <c r="C325" s="4">
        <f>IFERROR(__xludf.DUMMYFUNCTION("""COMPUTED_VALUE"""),44753.66666666667)</f>
        <v>44753.66667</v>
      </c>
      <c r="D325" s="1">
        <f>IFERROR(__xludf.DUMMYFUNCTION("""COMPUTED_VALUE"""),264.51)</f>
        <v>264.51</v>
      </c>
      <c r="E325" s="4">
        <f>IFERROR(__xludf.DUMMYFUNCTION("""COMPUTED_VALUE"""),44753.66666666667)</f>
        <v>44753.66667</v>
      </c>
      <c r="F325" s="1">
        <f>IFERROR(__xludf.DUMMYFUNCTION("""COMPUTED_VALUE"""),85.64)</f>
        <v>85.64</v>
      </c>
      <c r="G325" s="4">
        <f>IFERROR(__xludf.DUMMYFUNCTION("""COMPUTED_VALUE"""),44753.66666666667)</f>
        <v>44753.66667</v>
      </c>
      <c r="H325" s="1">
        <f>IFERROR(__xludf.DUMMYFUNCTION("""COMPUTED_VALUE"""),141.51)</f>
        <v>141.51</v>
      </c>
      <c r="I325" s="5">
        <f t="shared" si="1"/>
        <v>0.006833712984</v>
      </c>
      <c r="K325" s="5">
        <f t="shared" si="2"/>
        <v>-0.04098143737</v>
      </c>
      <c r="L325" s="5">
        <f t="shared" si="3"/>
        <v>-0.01331153667</v>
      </c>
      <c r="M325" s="5">
        <f t="shared" si="4"/>
        <v>-0.01830259346</v>
      </c>
      <c r="Q325" s="5"/>
    </row>
    <row r="326">
      <c r="A326" s="4">
        <f>IFERROR(__xludf.DUMMYFUNCTION("""COMPUTED_VALUE"""),44754.66666666667)</f>
        <v>44754.66667</v>
      </c>
      <c r="B326" s="1">
        <f>IFERROR(__xludf.DUMMYFUNCTION("""COMPUTED_VALUE"""),145.86)</f>
        <v>145.86</v>
      </c>
      <c r="C326" s="4">
        <f>IFERROR(__xludf.DUMMYFUNCTION("""COMPUTED_VALUE"""),44754.66666666667)</f>
        <v>44754.66667</v>
      </c>
      <c r="D326" s="1">
        <f>IFERROR(__xludf.DUMMYFUNCTION("""COMPUTED_VALUE"""),253.67)</f>
        <v>253.67</v>
      </c>
      <c r="E326" s="4">
        <f>IFERROR(__xludf.DUMMYFUNCTION("""COMPUTED_VALUE"""),44754.66666666667)</f>
        <v>44754.66667</v>
      </c>
      <c r="F326" s="1">
        <f>IFERROR(__xludf.DUMMYFUNCTION("""COMPUTED_VALUE"""),84.5)</f>
        <v>84.5</v>
      </c>
      <c r="G326" s="4">
        <f>IFERROR(__xludf.DUMMYFUNCTION("""COMPUTED_VALUE"""),44754.66666666667)</f>
        <v>44754.66667</v>
      </c>
      <c r="H326" s="1">
        <f>IFERROR(__xludf.DUMMYFUNCTION("""COMPUTED_VALUE"""),138.92)</f>
        <v>138.92</v>
      </c>
      <c r="I326" s="5">
        <f t="shared" si="1"/>
        <v>-0.002536679007</v>
      </c>
      <c r="K326" s="5">
        <f t="shared" si="2"/>
        <v>-0.003745023061</v>
      </c>
      <c r="L326" s="5">
        <f t="shared" si="3"/>
        <v>0.004023668639</v>
      </c>
      <c r="M326" s="5">
        <f t="shared" si="4"/>
        <v>-0.006694500432</v>
      </c>
      <c r="Q326" s="5"/>
    </row>
    <row r="327">
      <c r="A327" s="4">
        <f>IFERROR(__xludf.DUMMYFUNCTION("""COMPUTED_VALUE"""),44755.66666666667)</f>
        <v>44755.66667</v>
      </c>
      <c r="B327" s="1">
        <f>IFERROR(__xludf.DUMMYFUNCTION("""COMPUTED_VALUE"""),145.49)</f>
        <v>145.49</v>
      </c>
      <c r="C327" s="4">
        <f>IFERROR(__xludf.DUMMYFUNCTION("""COMPUTED_VALUE"""),44755.66666666667)</f>
        <v>44755.66667</v>
      </c>
      <c r="D327" s="1">
        <f>IFERROR(__xludf.DUMMYFUNCTION("""COMPUTED_VALUE"""),252.72)</f>
        <v>252.72</v>
      </c>
      <c r="E327" s="4">
        <f>IFERROR(__xludf.DUMMYFUNCTION("""COMPUTED_VALUE"""),44755.66666666667)</f>
        <v>44755.66667</v>
      </c>
      <c r="F327" s="1">
        <f>IFERROR(__xludf.DUMMYFUNCTION("""COMPUTED_VALUE"""),84.84)</f>
        <v>84.84</v>
      </c>
      <c r="G327" s="4">
        <f>IFERROR(__xludf.DUMMYFUNCTION("""COMPUTED_VALUE"""),44755.66666666667)</f>
        <v>44755.66667</v>
      </c>
      <c r="H327" s="1">
        <f>IFERROR(__xludf.DUMMYFUNCTION("""COMPUTED_VALUE"""),137.99)</f>
        <v>137.99</v>
      </c>
      <c r="I327" s="5">
        <f t="shared" si="1"/>
        <v>0.02048250739</v>
      </c>
      <c r="K327" s="5">
        <f t="shared" si="2"/>
        <v>0.005381449826</v>
      </c>
      <c r="L327" s="5">
        <f t="shared" si="3"/>
        <v>-0.02003771806</v>
      </c>
      <c r="M327" s="5">
        <f t="shared" si="4"/>
        <v>-0.014856149</v>
      </c>
      <c r="Q327" s="5"/>
    </row>
    <row r="328">
      <c r="A328" s="4">
        <f>IFERROR(__xludf.DUMMYFUNCTION("""COMPUTED_VALUE"""),44756.66666666667)</f>
        <v>44756.66667</v>
      </c>
      <c r="B328" s="1">
        <f>IFERROR(__xludf.DUMMYFUNCTION("""COMPUTED_VALUE"""),148.47)</f>
        <v>148.47</v>
      </c>
      <c r="C328" s="4">
        <f>IFERROR(__xludf.DUMMYFUNCTION("""COMPUTED_VALUE"""),44756.66666666667)</f>
        <v>44756.66667</v>
      </c>
      <c r="D328" s="1">
        <f>IFERROR(__xludf.DUMMYFUNCTION("""COMPUTED_VALUE"""),254.08)</f>
        <v>254.08</v>
      </c>
      <c r="E328" s="4">
        <f>IFERROR(__xludf.DUMMYFUNCTION("""COMPUTED_VALUE"""),44756.66666666667)</f>
        <v>44756.66667</v>
      </c>
      <c r="F328" s="1">
        <f>IFERROR(__xludf.DUMMYFUNCTION("""COMPUTED_VALUE"""),83.14)</f>
        <v>83.14</v>
      </c>
      <c r="G328" s="4">
        <f>IFERROR(__xludf.DUMMYFUNCTION("""COMPUTED_VALUE"""),44756.66666666667)</f>
        <v>44756.66667</v>
      </c>
      <c r="H328" s="1">
        <f>IFERROR(__xludf.DUMMYFUNCTION("""COMPUTED_VALUE"""),135.94)</f>
        <v>135.94</v>
      </c>
      <c r="I328" s="5">
        <f t="shared" si="1"/>
        <v>0.0114501246</v>
      </c>
      <c r="K328" s="5">
        <f t="shared" si="2"/>
        <v>0.01039042821</v>
      </c>
      <c r="L328" s="5">
        <f t="shared" si="3"/>
        <v>0.01683906663</v>
      </c>
      <c r="M328" s="5">
        <f t="shared" si="4"/>
        <v>0.01257907901</v>
      </c>
      <c r="Q328" s="5"/>
    </row>
    <row r="329">
      <c r="A329" s="4">
        <f>IFERROR(__xludf.DUMMYFUNCTION("""COMPUTED_VALUE"""),44757.66666666667)</f>
        <v>44757.66667</v>
      </c>
      <c r="B329" s="1">
        <f>IFERROR(__xludf.DUMMYFUNCTION("""COMPUTED_VALUE"""),150.17)</f>
        <v>150.17</v>
      </c>
      <c r="C329" s="4">
        <f>IFERROR(__xludf.DUMMYFUNCTION("""COMPUTED_VALUE"""),44757.66666666667)</f>
        <v>44757.66667</v>
      </c>
      <c r="D329" s="1">
        <f>IFERROR(__xludf.DUMMYFUNCTION("""COMPUTED_VALUE"""),256.72)</f>
        <v>256.72</v>
      </c>
      <c r="E329" s="4">
        <f>IFERROR(__xludf.DUMMYFUNCTION("""COMPUTED_VALUE"""),44757.66666666667)</f>
        <v>44757.66667</v>
      </c>
      <c r="F329" s="1">
        <f>IFERROR(__xludf.DUMMYFUNCTION("""COMPUTED_VALUE"""),84.54)</f>
        <v>84.54</v>
      </c>
      <c r="G329" s="4">
        <f>IFERROR(__xludf.DUMMYFUNCTION("""COMPUTED_VALUE"""),44757.66666666667)</f>
        <v>44757.66667</v>
      </c>
      <c r="H329" s="1">
        <f>IFERROR(__xludf.DUMMYFUNCTION("""COMPUTED_VALUE"""),137.65)</f>
        <v>137.65</v>
      </c>
      <c r="I329" s="5">
        <f t="shared" si="1"/>
        <v>-0.02064327096</v>
      </c>
      <c r="K329" s="5">
        <f t="shared" si="2"/>
        <v>-0.009621377376</v>
      </c>
      <c r="L329" s="5">
        <f t="shared" si="3"/>
        <v>0.01845280341</v>
      </c>
      <c r="M329" s="5">
        <f t="shared" si="4"/>
        <v>0.01402106793</v>
      </c>
      <c r="Q329" s="5"/>
    </row>
    <row r="330">
      <c r="A330" s="4">
        <f>IFERROR(__xludf.DUMMYFUNCTION("""COMPUTED_VALUE"""),44760.66666666667)</f>
        <v>44760.66667</v>
      </c>
      <c r="B330" s="1">
        <f>IFERROR(__xludf.DUMMYFUNCTION("""COMPUTED_VALUE"""),147.07)</f>
        <v>147.07</v>
      </c>
      <c r="C330" s="4">
        <f>IFERROR(__xludf.DUMMYFUNCTION("""COMPUTED_VALUE"""),44760.66666666667)</f>
        <v>44760.66667</v>
      </c>
      <c r="D330" s="1">
        <f>IFERROR(__xludf.DUMMYFUNCTION("""COMPUTED_VALUE"""),254.25)</f>
        <v>254.25</v>
      </c>
      <c r="E330" s="4">
        <f>IFERROR(__xludf.DUMMYFUNCTION("""COMPUTED_VALUE"""),44760.66666666667)</f>
        <v>44760.66667</v>
      </c>
      <c r="F330" s="1">
        <f>IFERROR(__xludf.DUMMYFUNCTION("""COMPUTED_VALUE"""),86.1)</f>
        <v>86.1</v>
      </c>
      <c r="G330" s="4">
        <f>IFERROR(__xludf.DUMMYFUNCTION("""COMPUTED_VALUE"""),44760.66666666667)</f>
        <v>44760.66667</v>
      </c>
      <c r="H330" s="1">
        <f>IFERROR(__xludf.DUMMYFUNCTION("""COMPUTED_VALUE"""),139.58)</f>
        <v>139.58</v>
      </c>
      <c r="I330" s="5">
        <f t="shared" si="1"/>
        <v>0.02672196913</v>
      </c>
      <c r="K330" s="5">
        <f t="shared" si="2"/>
        <v>0.02076696165</v>
      </c>
      <c r="L330" s="5">
        <f t="shared" si="3"/>
        <v>0.02520325203</v>
      </c>
      <c r="M330" s="5">
        <f t="shared" si="4"/>
        <v>0.03603668147</v>
      </c>
      <c r="Q330" s="5"/>
    </row>
    <row r="331">
      <c r="A331" s="4">
        <f>IFERROR(__xludf.DUMMYFUNCTION("""COMPUTED_VALUE"""),44761.66666666667)</f>
        <v>44761.66667</v>
      </c>
      <c r="B331" s="1">
        <f>IFERROR(__xludf.DUMMYFUNCTION("""COMPUTED_VALUE"""),151.0)</f>
        <v>151</v>
      </c>
      <c r="C331" s="4">
        <f>IFERROR(__xludf.DUMMYFUNCTION("""COMPUTED_VALUE"""),44761.66666666667)</f>
        <v>44761.66667</v>
      </c>
      <c r="D331" s="1">
        <f>IFERROR(__xludf.DUMMYFUNCTION("""COMPUTED_VALUE"""),259.53)</f>
        <v>259.53</v>
      </c>
      <c r="E331" s="4">
        <f>IFERROR(__xludf.DUMMYFUNCTION("""COMPUTED_VALUE"""),44761.66666666667)</f>
        <v>44761.66667</v>
      </c>
      <c r="F331" s="1">
        <f>IFERROR(__xludf.DUMMYFUNCTION("""COMPUTED_VALUE"""),88.27)</f>
        <v>88.27</v>
      </c>
      <c r="G331" s="4">
        <f>IFERROR(__xludf.DUMMYFUNCTION("""COMPUTED_VALUE"""),44761.66666666667)</f>
        <v>44761.66667</v>
      </c>
      <c r="H331" s="1">
        <f>IFERROR(__xludf.DUMMYFUNCTION("""COMPUTED_VALUE"""),144.61)</f>
        <v>144.61</v>
      </c>
      <c r="I331" s="5">
        <f t="shared" si="1"/>
        <v>0.01350993377</v>
      </c>
      <c r="K331" s="5">
        <f t="shared" si="2"/>
        <v>0.01055754633</v>
      </c>
      <c r="L331" s="5">
        <f t="shared" si="3"/>
        <v>0.01098901099</v>
      </c>
      <c r="M331" s="5">
        <f t="shared" si="4"/>
        <v>0.01320793859</v>
      </c>
      <c r="Q331" s="5"/>
    </row>
    <row r="332">
      <c r="A332" s="4">
        <f>IFERROR(__xludf.DUMMYFUNCTION("""COMPUTED_VALUE"""),44762.66666666667)</f>
        <v>44762.66667</v>
      </c>
      <c r="B332" s="1">
        <f>IFERROR(__xludf.DUMMYFUNCTION("""COMPUTED_VALUE"""),153.04)</f>
        <v>153.04</v>
      </c>
      <c r="C332" s="4">
        <f>IFERROR(__xludf.DUMMYFUNCTION("""COMPUTED_VALUE"""),44762.66666666667)</f>
        <v>44762.66667</v>
      </c>
      <c r="D332" s="1">
        <f>IFERROR(__xludf.DUMMYFUNCTION("""COMPUTED_VALUE"""),262.27)</f>
        <v>262.27</v>
      </c>
      <c r="E332" s="4">
        <f>IFERROR(__xludf.DUMMYFUNCTION("""COMPUTED_VALUE"""),44762.66666666667)</f>
        <v>44762.66667</v>
      </c>
      <c r="F332" s="1">
        <f>IFERROR(__xludf.DUMMYFUNCTION("""COMPUTED_VALUE"""),89.24)</f>
        <v>89.24</v>
      </c>
      <c r="G332" s="4">
        <f>IFERROR(__xludf.DUMMYFUNCTION("""COMPUTED_VALUE"""),44762.66666666667)</f>
        <v>44762.66667</v>
      </c>
      <c r="H332" s="1">
        <f>IFERROR(__xludf.DUMMYFUNCTION("""COMPUTED_VALUE"""),146.52)</f>
        <v>146.52</v>
      </c>
      <c r="I332" s="5">
        <f t="shared" si="1"/>
        <v>0.01509409305</v>
      </c>
      <c r="K332" s="5">
        <f t="shared" si="2"/>
        <v>0.009799062035</v>
      </c>
      <c r="L332" s="5">
        <f t="shared" si="3"/>
        <v>-0.01669654863</v>
      </c>
      <c r="M332" s="5">
        <f t="shared" si="4"/>
        <v>-0.007644007644</v>
      </c>
      <c r="Q332" s="5"/>
    </row>
    <row r="333">
      <c r="A333" s="4">
        <f>IFERROR(__xludf.DUMMYFUNCTION("""COMPUTED_VALUE"""),44763.66666666667)</f>
        <v>44763.66667</v>
      </c>
      <c r="B333" s="1">
        <f>IFERROR(__xludf.DUMMYFUNCTION("""COMPUTED_VALUE"""),155.35)</f>
        <v>155.35</v>
      </c>
      <c r="C333" s="4">
        <f>IFERROR(__xludf.DUMMYFUNCTION("""COMPUTED_VALUE"""),44763.66666666667)</f>
        <v>44763.66667</v>
      </c>
      <c r="D333" s="1">
        <f>IFERROR(__xludf.DUMMYFUNCTION("""COMPUTED_VALUE"""),264.84)</f>
        <v>264.84</v>
      </c>
      <c r="E333" s="4">
        <f>IFERROR(__xludf.DUMMYFUNCTION("""COMPUTED_VALUE"""),44763.66666666667)</f>
        <v>44763.66667</v>
      </c>
      <c r="F333" s="1">
        <f>IFERROR(__xludf.DUMMYFUNCTION("""COMPUTED_VALUE"""),87.75)</f>
        <v>87.75</v>
      </c>
      <c r="G333" s="4">
        <f>IFERROR(__xludf.DUMMYFUNCTION("""COMPUTED_VALUE"""),44763.66666666667)</f>
        <v>44763.66667</v>
      </c>
      <c r="H333" s="1">
        <f>IFERROR(__xludf.DUMMYFUNCTION("""COMPUTED_VALUE"""),145.4)</f>
        <v>145.4</v>
      </c>
      <c r="I333" s="5">
        <f t="shared" si="1"/>
        <v>-0.008110717734</v>
      </c>
      <c r="K333" s="5">
        <f t="shared" si="2"/>
        <v>-0.01691587374</v>
      </c>
      <c r="L333" s="5">
        <f t="shared" si="3"/>
        <v>-0.007635327635</v>
      </c>
      <c r="M333" s="5">
        <f t="shared" si="4"/>
        <v>-0.008321870702</v>
      </c>
      <c r="Q333" s="5"/>
    </row>
    <row r="334">
      <c r="A334" s="4">
        <f>IFERROR(__xludf.DUMMYFUNCTION("""COMPUTED_VALUE"""),44764.66666666667)</f>
        <v>44764.66667</v>
      </c>
      <c r="B334" s="1">
        <f>IFERROR(__xludf.DUMMYFUNCTION("""COMPUTED_VALUE"""),154.09)</f>
        <v>154.09</v>
      </c>
      <c r="C334" s="4">
        <f>IFERROR(__xludf.DUMMYFUNCTION("""COMPUTED_VALUE"""),44764.66666666667)</f>
        <v>44764.66667</v>
      </c>
      <c r="D334" s="1">
        <f>IFERROR(__xludf.DUMMYFUNCTION("""COMPUTED_VALUE"""),260.36)</f>
        <v>260.36</v>
      </c>
      <c r="E334" s="4">
        <f>IFERROR(__xludf.DUMMYFUNCTION("""COMPUTED_VALUE"""),44764.66666666667)</f>
        <v>44764.66667</v>
      </c>
      <c r="F334" s="1">
        <f>IFERROR(__xludf.DUMMYFUNCTION("""COMPUTED_VALUE"""),87.08)</f>
        <v>87.08</v>
      </c>
      <c r="G334" s="4">
        <f>IFERROR(__xludf.DUMMYFUNCTION("""COMPUTED_VALUE"""),44764.66666666667)</f>
        <v>44764.66667</v>
      </c>
      <c r="H334" s="1">
        <f>IFERROR(__xludf.DUMMYFUNCTION("""COMPUTED_VALUE"""),144.19)</f>
        <v>144.19</v>
      </c>
      <c r="I334" s="5">
        <f t="shared" si="1"/>
        <v>-0.007398273736</v>
      </c>
      <c r="K334" s="5">
        <f t="shared" si="2"/>
        <v>-0.005876478722</v>
      </c>
      <c r="L334" s="5">
        <f t="shared" si="3"/>
        <v>0.03330271015</v>
      </c>
      <c r="M334" s="5">
        <f t="shared" si="4"/>
        <v>0.02975241001</v>
      </c>
      <c r="Q334" s="5"/>
    </row>
    <row r="335">
      <c r="A335" s="4">
        <f>IFERROR(__xludf.DUMMYFUNCTION("""COMPUTED_VALUE"""),44767.66666666667)</f>
        <v>44767.66667</v>
      </c>
      <c r="B335" s="1">
        <f>IFERROR(__xludf.DUMMYFUNCTION("""COMPUTED_VALUE"""),152.95)</f>
        <v>152.95</v>
      </c>
      <c r="C335" s="4">
        <f>IFERROR(__xludf.DUMMYFUNCTION("""COMPUTED_VALUE"""),44767.66666666667)</f>
        <v>44767.66667</v>
      </c>
      <c r="D335" s="1">
        <f>IFERROR(__xludf.DUMMYFUNCTION("""COMPUTED_VALUE"""),258.83)</f>
        <v>258.83</v>
      </c>
      <c r="E335" s="4">
        <f>IFERROR(__xludf.DUMMYFUNCTION("""COMPUTED_VALUE"""),44767.66666666667)</f>
        <v>44767.66667</v>
      </c>
      <c r="F335" s="1">
        <f>IFERROR(__xludf.DUMMYFUNCTION("""COMPUTED_VALUE"""),89.98)</f>
        <v>89.98</v>
      </c>
      <c r="G335" s="4">
        <f>IFERROR(__xludf.DUMMYFUNCTION("""COMPUTED_VALUE"""),44767.66666666667)</f>
        <v>44767.66667</v>
      </c>
      <c r="H335" s="1">
        <f>IFERROR(__xludf.DUMMYFUNCTION("""COMPUTED_VALUE"""),148.48)</f>
        <v>148.48</v>
      </c>
      <c r="I335" s="5">
        <f t="shared" si="1"/>
        <v>-0.008826413861</v>
      </c>
      <c r="K335" s="5">
        <f t="shared" si="2"/>
        <v>-0.02677433064</v>
      </c>
      <c r="L335" s="5">
        <f t="shared" si="3"/>
        <v>-0.003889753279</v>
      </c>
      <c r="M335" s="5">
        <f t="shared" si="4"/>
        <v>-0.0078125</v>
      </c>
      <c r="Q335" s="5"/>
    </row>
    <row r="336">
      <c r="A336" s="4">
        <f>IFERROR(__xludf.DUMMYFUNCTION("""COMPUTED_VALUE"""),44768.66666666667)</f>
        <v>44768.66667</v>
      </c>
      <c r="B336" s="1">
        <f>IFERROR(__xludf.DUMMYFUNCTION("""COMPUTED_VALUE"""),151.6)</f>
        <v>151.6</v>
      </c>
      <c r="C336" s="4">
        <f>IFERROR(__xludf.DUMMYFUNCTION("""COMPUTED_VALUE"""),44768.66666666667)</f>
        <v>44768.66667</v>
      </c>
      <c r="D336" s="1">
        <f>IFERROR(__xludf.DUMMYFUNCTION("""COMPUTED_VALUE"""),251.9)</f>
        <v>251.9</v>
      </c>
      <c r="E336" s="4">
        <f>IFERROR(__xludf.DUMMYFUNCTION("""COMPUTED_VALUE"""),44768.66666666667)</f>
        <v>44768.66667</v>
      </c>
      <c r="F336" s="1">
        <f>IFERROR(__xludf.DUMMYFUNCTION("""COMPUTED_VALUE"""),89.63)</f>
        <v>89.63</v>
      </c>
      <c r="G336" s="4">
        <f>IFERROR(__xludf.DUMMYFUNCTION("""COMPUTED_VALUE"""),44768.66666666667)</f>
        <v>44768.66667</v>
      </c>
      <c r="H336" s="1">
        <f>IFERROR(__xludf.DUMMYFUNCTION("""COMPUTED_VALUE"""),147.32)</f>
        <v>147.32</v>
      </c>
      <c r="I336" s="5">
        <f t="shared" si="1"/>
        <v>0.0342348285</v>
      </c>
      <c r="K336" s="5">
        <f t="shared" si="2"/>
        <v>0.06685192537</v>
      </c>
      <c r="L336" s="5">
        <f t="shared" si="3"/>
        <v>0.02164453866</v>
      </c>
      <c r="M336" s="5">
        <f t="shared" si="4"/>
        <v>0.01316861254</v>
      </c>
      <c r="Q336" s="5"/>
    </row>
    <row r="337">
      <c r="A337" s="4">
        <f>IFERROR(__xludf.DUMMYFUNCTION("""COMPUTED_VALUE"""),44769.66666666667)</f>
        <v>44769.66667</v>
      </c>
      <c r="B337" s="1">
        <f>IFERROR(__xludf.DUMMYFUNCTION("""COMPUTED_VALUE"""),156.79)</f>
        <v>156.79</v>
      </c>
      <c r="C337" s="4">
        <f>IFERROR(__xludf.DUMMYFUNCTION("""COMPUTED_VALUE"""),44769.66666666667)</f>
        <v>44769.66667</v>
      </c>
      <c r="D337" s="1">
        <f>IFERROR(__xludf.DUMMYFUNCTION("""COMPUTED_VALUE"""),268.74)</f>
        <v>268.74</v>
      </c>
      <c r="E337" s="4">
        <f>IFERROR(__xludf.DUMMYFUNCTION("""COMPUTED_VALUE"""),44769.66666666667)</f>
        <v>44769.66667</v>
      </c>
      <c r="F337" s="1">
        <f>IFERROR(__xludf.DUMMYFUNCTION("""COMPUTED_VALUE"""),91.57)</f>
        <v>91.57</v>
      </c>
      <c r="G337" s="4">
        <f>IFERROR(__xludf.DUMMYFUNCTION("""COMPUTED_VALUE"""),44769.66666666667)</f>
        <v>44769.66667</v>
      </c>
      <c r="H337" s="1">
        <f>IFERROR(__xludf.DUMMYFUNCTION("""COMPUTED_VALUE"""),149.26)</f>
        <v>149.26</v>
      </c>
      <c r="I337" s="5">
        <f t="shared" si="1"/>
        <v>0.003571656356</v>
      </c>
      <c r="K337" s="5">
        <f t="shared" si="2"/>
        <v>0.02854059686</v>
      </c>
      <c r="L337" s="5">
        <f t="shared" si="3"/>
        <v>0.01168504969</v>
      </c>
      <c r="M337" s="5">
        <f t="shared" si="4"/>
        <v>0.007570682031</v>
      </c>
      <c r="Q337" s="5"/>
    </row>
    <row r="338">
      <c r="A338" s="4">
        <f>IFERROR(__xludf.DUMMYFUNCTION("""COMPUTED_VALUE"""),44770.66666666667)</f>
        <v>44770.66667</v>
      </c>
      <c r="B338" s="1">
        <f>IFERROR(__xludf.DUMMYFUNCTION("""COMPUTED_VALUE"""),157.35)</f>
        <v>157.35</v>
      </c>
      <c r="C338" s="4">
        <f>IFERROR(__xludf.DUMMYFUNCTION("""COMPUTED_VALUE"""),44770.66666666667)</f>
        <v>44770.66667</v>
      </c>
      <c r="D338" s="1">
        <f>IFERROR(__xludf.DUMMYFUNCTION("""COMPUTED_VALUE"""),276.41)</f>
        <v>276.41</v>
      </c>
      <c r="E338" s="4">
        <f>IFERROR(__xludf.DUMMYFUNCTION("""COMPUTED_VALUE"""),44770.66666666667)</f>
        <v>44770.66667</v>
      </c>
      <c r="F338" s="1">
        <f>IFERROR(__xludf.DUMMYFUNCTION("""COMPUTED_VALUE"""),92.64)</f>
        <v>92.64</v>
      </c>
      <c r="G338" s="4">
        <f>IFERROR(__xludf.DUMMYFUNCTION("""COMPUTED_VALUE"""),44770.66666666667)</f>
        <v>44770.66667</v>
      </c>
      <c r="H338" s="1">
        <f>IFERROR(__xludf.DUMMYFUNCTION("""COMPUTED_VALUE"""),150.39)</f>
        <v>150.39</v>
      </c>
      <c r="I338" s="5">
        <f t="shared" si="1"/>
        <v>0.03279313632</v>
      </c>
      <c r="K338" s="5">
        <f t="shared" si="2"/>
        <v>0.01566513513</v>
      </c>
      <c r="L338" s="5">
        <f t="shared" si="3"/>
        <v>0.04630829016</v>
      </c>
      <c r="M338" s="5">
        <f t="shared" si="4"/>
        <v>0.08903517521</v>
      </c>
      <c r="Q338" s="5"/>
    </row>
    <row r="339">
      <c r="A339" s="4">
        <f>IFERROR(__xludf.DUMMYFUNCTION("""COMPUTED_VALUE"""),44771.66666666667)</f>
        <v>44771.66667</v>
      </c>
      <c r="B339" s="1">
        <f>IFERROR(__xludf.DUMMYFUNCTION("""COMPUTED_VALUE"""),162.51)</f>
        <v>162.51</v>
      </c>
      <c r="C339" s="4">
        <f>IFERROR(__xludf.DUMMYFUNCTION("""COMPUTED_VALUE"""),44771.66666666667)</f>
        <v>44771.66667</v>
      </c>
      <c r="D339" s="1">
        <f>IFERROR(__xludf.DUMMYFUNCTION("""COMPUTED_VALUE"""),280.74)</f>
        <v>280.74</v>
      </c>
      <c r="E339" s="4">
        <f>IFERROR(__xludf.DUMMYFUNCTION("""COMPUTED_VALUE"""),44771.66666666667)</f>
        <v>44771.66667</v>
      </c>
      <c r="F339" s="1">
        <f>IFERROR(__xludf.DUMMYFUNCTION("""COMPUTED_VALUE"""),96.93)</f>
        <v>96.93</v>
      </c>
      <c r="G339" s="4">
        <f>IFERROR(__xludf.DUMMYFUNCTION("""COMPUTED_VALUE"""),44771.66666666667)</f>
        <v>44771.66667</v>
      </c>
      <c r="H339" s="1">
        <f>IFERROR(__xludf.DUMMYFUNCTION("""COMPUTED_VALUE"""),163.78)</f>
        <v>163.78</v>
      </c>
      <c r="I339" s="5">
        <f t="shared" si="1"/>
        <v>-0.006153467479</v>
      </c>
      <c r="K339" s="5">
        <f t="shared" si="2"/>
        <v>-0.009724300064</v>
      </c>
      <c r="L339" s="5">
        <f t="shared" si="3"/>
        <v>-0.02527597235</v>
      </c>
      <c r="M339" s="5">
        <f t="shared" si="4"/>
        <v>-0.01996580779</v>
      </c>
      <c r="Q339" s="5"/>
    </row>
    <row r="340">
      <c r="A340" s="4">
        <f>IFERROR(__xludf.DUMMYFUNCTION("""COMPUTED_VALUE"""),44774.66666666667)</f>
        <v>44774.66667</v>
      </c>
      <c r="B340" s="1">
        <f>IFERROR(__xludf.DUMMYFUNCTION("""COMPUTED_VALUE"""),161.51)</f>
        <v>161.51</v>
      </c>
      <c r="C340" s="4">
        <f>IFERROR(__xludf.DUMMYFUNCTION("""COMPUTED_VALUE"""),44774.66666666667)</f>
        <v>44774.66667</v>
      </c>
      <c r="D340" s="1">
        <f>IFERROR(__xludf.DUMMYFUNCTION("""COMPUTED_VALUE"""),278.01)</f>
        <v>278.01</v>
      </c>
      <c r="E340" s="4">
        <f>IFERROR(__xludf.DUMMYFUNCTION("""COMPUTED_VALUE"""),44774.66666666667)</f>
        <v>44774.66667</v>
      </c>
      <c r="F340" s="1">
        <f>IFERROR(__xludf.DUMMYFUNCTION("""COMPUTED_VALUE"""),94.48)</f>
        <v>94.48</v>
      </c>
      <c r="G340" s="4">
        <f>IFERROR(__xludf.DUMMYFUNCTION("""COMPUTED_VALUE"""),44774.66666666667)</f>
        <v>44774.66667</v>
      </c>
      <c r="H340" s="1">
        <f>IFERROR(__xludf.DUMMYFUNCTION("""COMPUTED_VALUE"""),160.51)</f>
        <v>160.51</v>
      </c>
      <c r="I340" s="5">
        <f t="shared" si="1"/>
        <v>-0.009287350628</v>
      </c>
      <c r="K340" s="5">
        <f t="shared" si="2"/>
        <v>-0.0114744074</v>
      </c>
      <c r="L340" s="5">
        <f t="shared" si="3"/>
        <v>-0.00433954276</v>
      </c>
      <c r="M340" s="5">
        <f t="shared" si="4"/>
        <v>-0.008535293751</v>
      </c>
      <c r="Q340" s="5"/>
    </row>
    <row r="341">
      <c r="A341" s="4">
        <f>IFERROR(__xludf.DUMMYFUNCTION("""COMPUTED_VALUE"""),44775.66666666667)</f>
        <v>44775.66667</v>
      </c>
      <c r="B341" s="1">
        <f>IFERROR(__xludf.DUMMYFUNCTION("""COMPUTED_VALUE"""),160.01)</f>
        <v>160.01</v>
      </c>
      <c r="C341" s="4">
        <f>IFERROR(__xludf.DUMMYFUNCTION("""COMPUTED_VALUE"""),44775.66666666667)</f>
        <v>44775.66667</v>
      </c>
      <c r="D341" s="1">
        <f>IFERROR(__xludf.DUMMYFUNCTION("""COMPUTED_VALUE"""),274.82)</f>
        <v>274.82</v>
      </c>
      <c r="E341" s="4">
        <f>IFERROR(__xludf.DUMMYFUNCTION("""COMPUTED_VALUE"""),44775.66666666667)</f>
        <v>44775.66667</v>
      </c>
      <c r="F341" s="1">
        <f>IFERROR(__xludf.DUMMYFUNCTION("""COMPUTED_VALUE"""),94.07)</f>
        <v>94.07</v>
      </c>
      <c r="G341" s="4">
        <f>IFERROR(__xludf.DUMMYFUNCTION("""COMPUTED_VALUE"""),44775.66666666667)</f>
        <v>44775.66667</v>
      </c>
      <c r="H341" s="1">
        <f>IFERROR(__xludf.DUMMYFUNCTION("""COMPUTED_VALUE"""),159.14)</f>
        <v>159.14</v>
      </c>
      <c r="I341" s="5">
        <f t="shared" si="1"/>
        <v>0.03824760952</v>
      </c>
      <c r="K341" s="5">
        <f t="shared" si="2"/>
        <v>0.02783640201</v>
      </c>
      <c r="L341" s="5">
        <f t="shared" si="3"/>
        <v>-0.03242266397</v>
      </c>
      <c r="M341" s="5">
        <f t="shared" si="4"/>
        <v>-0.0237526706</v>
      </c>
      <c r="Q341" s="5"/>
    </row>
    <row r="342">
      <c r="A342" s="4">
        <f>IFERROR(__xludf.DUMMYFUNCTION("""COMPUTED_VALUE"""),44776.66666666667)</f>
        <v>44776.66667</v>
      </c>
      <c r="B342" s="1">
        <f>IFERROR(__xludf.DUMMYFUNCTION("""COMPUTED_VALUE"""),166.13)</f>
        <v>166.13</v>
      </c>
      <c r="C342" s="4">
        <f>IFERROR(__xludf.DUMMYFUNCTION("""COMPUTED_VALUE"""),44776.66666666667)</f>
        <v>44776.66667</v>
      </c>
      <c r="D342" s="1">
        <f>IFERROR(__xludf.DUMMYFUNCTION("""COMPUTED_VALUE"""),282.47)</f>
        <v>282.47</v>
      </c>
      <c r="E342" s="4">
        <f>IFERROR(__xludf.DUMMYFUNCTION("""COMPUTED_VALUE"""),44776.66666666667)</f>
        <v>44776.66667</v>
      </c>
      <c r="F342" s="1">
        <f>IFERROR(__xludf.DUMMYFUNCTION("""COMPUTED_VALUE"""),91.02)</f>
        <v>91.02</v>
      </c>
      <c r="G342" s="4">
        <f>IFERROR(__xludf.DUMMYFUNCTION("""COMPUTED_VALUE"""),44776.66666666667)</f>
        <v>44776.66667</v>
      </c>
      <c r="H342" s="1">
        <f>IFERROR(__xludf.DUMMYFUNCTION("""COMPUTED_VALUE"""),155.36)</f>
        <v>155.36</v>
      </c>
      <c r="I342" s="5">
        <f t="shared" si="1"/>
        <v>-0.001926202372</v>
      </c>
      <c r="K342" s="5">
        <f t="shared" si="2"/>
        <v>0.004177434772</v>
      </c>
      <c r="L342" s="5">
        <f t="shared" si="3"/>
        <v>-0.04207866403</v>
      </c>
      <c r="M342" s="5">
        <f t="shared" si="4"/>
        <v>-0.02716271885</v>
      </c>
      <c r="Q342" s="5"/>
    </row>
    <row r="343">
      <c r="A343" s="4">
        <f>IFERROR(__xludf.DUMMYFUNCTION("""COMPUTED_VALUE"""),44777.66666666667)</f>
        <v>44777.66667</v>
      </c>
      <c r="B343" s="1">
        <f>IFERROR(__xludf.DUMMYFUNCTION("""COMPUTED_VALUE"""),165.81)</f>
        <v>165.81</v>
      </c>
      <c r="C343" s="4">
        <f>IFERROR(__xludf.DUMMYFUNCTION("""COMPUTED_VALUE"""),44777.66666666667)</f>
        <v>44777.66667</v>
      </c>
      <c r="D343" s="1">
        <f>IFERROR(__xludf.DUMMYFUNCTION("""COMPUTED_VALUE"""),283.65)</f>
        <v>283.65</v>
      </c>
      <c r="E343" s="4">
        <f>IFERROR(__xludf.DUMMYFUNCTION("""COMPUTED_VALUE"""),44777.66666666667)</f>
        <v>44777.66667</v>
      </c>
      <c r="F343" s="1">
        <f>IFERROR(__xludf.DUMMYFUNCTION("""COMPUTED_VALUE"""),87.19)</f>
        <v>87.19</v>
      </c>
      <c r="G343" s="4">
        <f>IFERROR(__xludf.DUMMYFUNCTION("""COMPUTED_VALUE"""),44777.66666666667)</f>
        <v>44777.66667</v>
      </c>
      <c r="H343" s="1">
        <f>IFERROR(__xludf.DUMMYFUNCTION("""COMPUTED_VALUE"""),151.14)</f>
        <v>151.14</v>
      </c>
      <c r="I343" s="5">
        <f t="shared" si="1"/>
        <v>-0.002774259695</v>
      </c>
      <c r="K343" s="5">
        <f t="shared" si="2"/>
        <v>-0.002608848934</v>
      </c>
      <c r="L343" s="5">
        <f t="shared" si="3"/>
        <v>0.01445119853</v>
      </c>
      <c r="M343" s="5">
        <f t="shared" si="4"/>
        <v>0.01654095541</v>
      </c>
      <c r="Q343" s="5"/>
    </row>
    <row r="344">
      <c r="A344" s="4">
        <f>IFERROR(__xludf.DUMMYFUNCTION("""COMPUTED_VALUE"""),44778.66666666667)</f>
        <v>44778.66667</v>
      </c>
      <c r="B344" s="1">
        <f>IFERROR(__xludf.DUMMYFUNCTION("""COMPUTED_VALUE"""),165.35)</f>
        <v>165.35</v>
      </c>
      <c r="C344" s="4">
        <f>IFERROR(__xludf.DUMMYFUNCTION("""COMPUTED_VALUE"""),44778.66666666667)</f>
        <v>44778.66667</v>
      </c>
      <c r="D344" s="1">
        <f>IFERROR(__xludf.DUMMYFUNCTION("""COMPUTED_VALUE"""),282.91)</f>
        <v>282.91</v>
      </c>
      <c r="E344" s="4">
        <f>IFERROR(__xludf.DUMMYFUNCTION("""COMPUTED_VALUE"""),44778.66666666667)</f>
        <v>44778.66667</v>
      </c>
      <c r="F344" s="1">
        <f>IFERROR(__xludf.DUMMYFUNCTION("""COMPUTED_VALUE"""),88.45)</f>
        <v>88.45</v>
      </c>
      <c r="G344" s="4">
        <f>IFERROR(__xludf.DUMMYFUNCTION("""COMPUTED_VALUE"""),44778.66666666667)</f>
        <v>44778.66667</v>
      </c>
      <c r="H344" s="1">
        <f>IFERROR(__xludf.DUMMYFUNCTION("""COMPUTED_VALUE"""),153.64)</f>
        <v>153.64</v>
      </c>
      <c r="I344" s="5">
        <f t="shared" si="1"/>
        <v>-0.002902933172</v>
      </c>
      <c r="K344" s="5">
        <f t="shared" si="2"/>
        <v>-0.009154854901</v>
      </c>
      <c r="L344" s="5">
        <f t="shared" si="3"/>
        <v>0.005652911249</v>
      </c>
      <c r="M344" s="5">
        <f t="shared" si="4"/>
        <v>-0.001497005988</v>
      </c>
      <c r="Q344" s="5"/>
    </row>
    <row r="345">
      <c r="A345" s="4">
        <f>IFERROR(__xludf.DUMMYFUNCTION("""COMPUTED_VALUE"""),44781.66666666667)</f>
        <v>44781.66667</v>
      </c>
      <c r="B345" s="1">
        <f>IFERROR(__xludf.DUMMYFUNCTION("""COMPUTED_VALUE"""),164.87)</f>
        <v>164.87</v>
      </c>
      <c r="C345" s="4">
        <f>IFERROR(__xludf.DUMMYFUNCTION("""COMPUTED_VALUE"""),44781.66666666667)</f>
        <v>44781.66667</v>
      </c>
      <c r="D345" s="1">
        <f>IFERROR(__xludf.DUMMYFUNCTION("""COMPUTED_VALUE"""),280.32)</f>
        <v>280.32</v>
      </c>
      <c r="E345" s="4">
        <f>IFERROR(__xludf.DUMMYFUNCTION("""COMPUTED_VALUE"""),44781.66666666667)</f>
        <v>44781.66667</v>
      </c>
      <c r="F345" s="1">
        <f>IFERROR(__xludf.DUMMYFUNCTION("""COMPUTED_VALUE"""),88.95)</f>
        <v>88.95</v>
      </c>
      <c r="G345" s="4">
        <f>IFERROR(__xludf.DUMMYFUNCTION("""COMPUTED_VALUE"""),44781.66666666667)</f>
        <v>44781.66667</v>
      </c>
      <c r="H345" s="1">
        <f>IFERROR(__xludf.DUMMYFUNCTION("""COMPUTED_VALUE"""),153.41)</f>
        <v>153.41</v>
      </c>
      <c r="I345" s="5">
        <f t="shared" si="1"/>
        <v>0.0003032692424</v>
      </c>
      <c r="K345" s="5">
        <f t="shared" si="2"/>
        <v>0.007063356164</v>
      </c>
      <c r="L345" s="5">
        <f t="shared" si="3"/>
        <v>0.01843732434</v>
      </c>
      <c r="M345" s="5">
        <f t="shared" si="4"/>
        <v>0.01303695978</v>
      </c>
      <c r="Q345" s="5"/>
    </row>
    <row r="346">
      <c r="A346" s="4">
        <f>IFERROR(__xludf.DUMMYFUNCTION("""COMPUTED_VALUE"""),44782.66666666667)</f>
        <v>44782.66667</v>
      </c>
      <c r="B346" s="1">
        <f>IFERROR(__xludf.DUMMYFUNCTION("""COMPUTED_VALUE"""),164.92)</f>
        <v>164.92</v>
      </c>
      <c r="C346" s="4">
        <f>IFERROR(__xludf.DUMMYFUNCTION("""COMPUTED_VALUE"""),44782.66666666667)</f>
        <v>44782.66667</v>
      </c>
      <c r="D346" s="1">
        <f>IFERROR(__xludf.DUMMYFUNCTION("""COMPUTED_VALUE"""),282.3)</f>
        <v>282.3</v>
      </c>
      <c r="E346" s="4">
        <f>IFERROR(__xludf.DUMMYFUNCTION("""COMPUTED_VALUE"""),44782.66666666667)</f>
        <v>44782.66667</v>
      </c>
      <c r="F346" s="1">
        <f>IFERROR(__xludf.DUMMYFUNCTION("""COMPUTED_VALUE"""),90.59)</f>
        <v>90.59</v>
      </c>
      <c r="G346" s="4">
        <f>IFERROR(__xludf.DUMMYFUNCTION("""COMPUTED_VALUE"""),44782.66666666667)</f>
        <v>44782.66667</v>
      </c>
      <c r="H346" s="1">
        <f>IFERROR(__xludf.DUMMYFUNCTION("""COMPUTED_VALUE"""),155.41)</f>
        <v>155.41</v>
      </c>
      <c r="I346" s="5">
        <f t="shared" si="1"/>
        <v>0.02619451855</v>
      </c>
      <c r="K346" s="5">
        <f t="shared" si="2"/>
        <v>0.02430038966</v>
      </c>
      <c r="L346" s="5">
        <f t="shared" si="3"/>
        <v>0.009493321559</v>
      </c>
      <c r="M346" s="5">
        <f t="shared" si="4"/>
        <v>0.002638182871</v>
      </c>
      <c r="Q346" s="5"/>
    </row>
    <row r="347">
      <c r="A347" s="4">
        <f>IFERROR(__xludf.DUMMYFUNCTION("""COMPUTED_VALUE"""),44783.66666666667)</f>
        <v>44783.66667</v>
      </c>
      <c r="B347" s="1">
        <f>IFERROR(__xludf.DUMMYFUNCTION("""COMPUTED_VALUE"""),169.24)</f>
        <v>169.24</v>
      </c>
      <c r="C347" s="4">
        <f>IFERROR(__xludf.DUMMYFUNCTION("""COMPUTED_VALUE"""),44783.66666666667)</f>
        <v>44783.66667</v>
      </c>
      <c r="D347" s="1">
        <f>IFERROR(__xludf.DUMMYFUNCTION("""COMPUTED_VALUE"""),289.16)</f>
        <v>289.16</v>
      </c>
      <c r="E347" s="4">
        <f>IFERROR(__xludf.DUMMYFUNCTION("""COMPUTED_VALUE"""),44783.66666666667)</f>
        <v>44783.66667</v>
      </c>
      <c r="F347" s="1">
        <f>IFERROR(__xludf.DUMMYFUNCTION("""COMPUTED_VALUE"""),91.45)</f>
        <v>91.45</v>
      </c>
      <c r="G347" s="4">
        <f>IFERROR(__xludf.DUMMYFUNCTION("""COMPUTED_VALUE"""),44783.66666666667)</f>
        <v>44783.66667</v>
      </c>
      <c r="H347" s="1">
        <f>IFERROR(__xludf.DUMMYFUNCTION("""COMPUTED_VALUE"""),155.82)</f>
        <v>155.82</v>
      </c>
      <c r="I347" s="5">
        <f t="shared" si="1"/>
        <v>-0.004431576459</v>
      </c>
      <c r="K347" s="5">
        <f t="shared" si="2"/>
        <v>-0.007400746991</v>
      </c>
      <c r="L347" s="5">
        <f t="shared" si="3"/>
        <v>0.0190267906</v>
      </c>
      <c r="M347" s="5">
        <f t="shared" si="4"/>
        <v>0.02438711334</v>
      </c>
      <c r="Q347" s="5"/>
    </row>
    <row r="348">
      <c r="A348" s="4">
        <f>IFERROR(__xludf.DUMMYFUNCTION("""COMPUTED_VALUE"""),44784.66666666667)</f>
        <v>44784.66667</v>
      </c>
      <c r="B348" s="1">
        <f>IFERROR(__xludf.DUMMYFUNCTION("""COMPUTED_VALUE"""),168.49)</f>
        <v>168.49</v>
      </c>
      <c r="C348" s="4">
        <f>IFERROR(__xludf.DUMMYFUNCTION("""COMPUTED_VALUE"""),44784.66666666667)</f>
        <v>44784.66667</v>
      </c>
      <c r="D348" s="1">
        <f>IFERROR(__xludf.DUMMYFUNCTION("""COMPUTED_VALUE"""),287.02)</f>
        <v>287.02</v>
      </c>
      <c r="E348" s="4">
        <f>IFERROR(__xludf.DUMMYFUNCTION("""COMPUTED_VALUE"""),44784.66666666667)</f>
        <v>44784.66667</v>
      </c>
      <c r="F348" s="1">
        <f>IFERROR(__xludf.DUMMYFUNCTION("""COMPUTED_VALUE"""),93.19)</f>
        <v>93.19</v>
      </c>
      <c r="G348" s="4">
        <f>IFERROR(__xludf.DUMMYFUNCTION("""COMPUTED_VALUE"""),44784.66666666667)</f>
        <v>44784.66667</v>
      </c>
      <c r="H348" s="1">
        <f>IFERROR(__xludf.DUMMYFUNCTION("""COMPUTED_VALUE"""),159.62)</f>
        <v>159.62</v>
      </c>
      <c r="I348" s="5">
        <f t="shared" si="1"/>
        <v>0.02142560389</v>
      </c>
      <c r="K348" s="5">
        <f t="shared" si="2"/>
        <v>0.01703714027</v>
      </c>
      <c r="L348" s="5">
        <f t="shared" si="3"/>
        <v>0.008691919734</v>
      </c>
      <c r="M348" s="5">
        <f t="shared" si="4"/>
        <v>0.00144092219</v>
      </c>
      <c r="Q348" s="5"/>
    </row>
    <row r="349">
      <c r="A349" s="4">
        <f>IFERROR(__xludf.DUMMYFUNCTION("""COMPUTED_VALUE"""),44785.66666666667)</f>
        <v>44785.66667</v>
      </c>
      <c r="B349" s="1">
        <f>IFERROR(__xludf.DUMMYFUNCTION("""COMPUTED_VALUE"""),172.1)</f>
        <v>172.1</v>
      </c>
      <c r="C349" s="4">
        <f>IFERROR(__xludf.DUMMYFUNCTION("""COMPUTED_VALUE"""),44785.66666666667)</f>
        <v>44785.66667</v>
      </c>
      <c r="D349" s="1">
        <f>IFERROR(__xludf.DUMMYFUNCTION("""COMPUTED_VALUE"""),291.91)</f>
        <v>291.91</v>
      </c>
      <c r="E349" s="4">
        <f>IFERROR(__xludf.DUMMYFUNCTION("""COMPUTED_VALUE"""),44785.66666666667)</f>
        <v>44785.66667</v>
      </c>
      <c r="F349" s="1">
        <f>IFERROR(__xludf.DUMMYFUNCTION("""COMPUTED_VALUE"""),94.0)</f>
        <v>94</v>
      </c>
      <c r="G349" s="4">
        <f>IFERROR(__xludf.DUMMYFUNCTION("""COMPUTED_VALUE"""),44785.66666666667)</f>
        <v>44785.66667</v>
      </c>
      <c r="H349" s="1">
        <f>IFERROR(__xludf.DUMMYFUNCTION("""COMPUTED_VALUE"""),159.85)</f>
        <v>159.85</v>
      </c>
      <c r="I349" s="5">
        <f t="shared" si="1"/>
        <v>0.006333527019</v>
      </c>
      <c r="K349" s="5">
        <f t="shared" si="2"/>
        <v>0.005344112912</v>
      </c>
      <c r="L349" s="5">
        <f t="shared" si="3"/>
        <v>-0.01787234043</v>
      </c>
      <c r="M349" s="5">
        <f t="shared" si="4"/>
        <v>-0.01901782921</v>
      </c>
      <c r="Q349" s="5"/>
    </row>
    <row r="350">
      <c r="A350" s="4">
        <f>IFERROR(__xludf.DUMMYFUNCTION("""COMPUTED_VALUE"""),44788.66666666667)</f>
        <v>44788.66667</v>
      </c>
      <c r="B350" s="1">
        <f>IFERROR(__xludf.DUMMYFUNCTION("""COMPUTED_VALUE"""),173.19)</f>
        <v>173.19</v>
      </c>
      <c r="C350" s="4">
        <f>IFERROR(__xludf.DUMMYFUNCTION("""COMPUTED_VALUE"""),44788.66666666667)</f>
        <v>44788.66667</v>
      </c>
      <c r="D350" s="1">
        <f>IFERROR(__xludf.DUMMYFUNCTION("""COMPUTED_VALUE"""),293.47)</f>
        <v>293.47</v>
      </c>
      <c r="E350" s="4">
        <f>IFERROR(__xludf.DUMMYFUNCTION("""COMPUTED_VALUE"""),44788.66666666667)</f>
        <v>44788.66667</v>
      </c>
      <c r="F350" s="1">
        <f>IFERROR(__xludf.DUMMYFUNCTION("""COMPUTED_VALUE"""),92.32)</f>
        <v>92.32</v>
      </c>
      <c r="G350" s="4">
        <f>IFERROR(__xludf.DUMMYFUNCTION("""COMPUTED_VALUE"""),44788.66666666667)</f>
        <v>44788.66667</v>
      </c>
      <c r="H350" s="1">
        <f>IFERROR(__xludf.DUMMYFUNCTION("""COMPUTED_VALUE"""),156.81)</f>
        <v>156.81</v>
      </c>
      <c r="I350" s="5">
        <f t="shared" si="1"/>
        <v>-0.0009238408684</v>
      </c>
      <c r="K350" s="5">
        <f t="shared" si="2"/>
        <v>-0.002589702525</v>
      </c>
      <c r="L350" s="5">
        <f t="shared" si="3"/>
        <v>-0.00931542461</v>
      </c>
      <c r="M350" s="5">
        <f t="shared" si="4"/>
        <v>-0.002550857726</v>
      </c>
      <c r="Q350" s="5"/>
    </row>
    <row r="351">
      <c r="A351" s="4">
        <f>IFERROR(__xludf.DUMMYFUNCTION("""COMPUTED_VALUE"""),44789.66666666667)</f>
        <v>44789.66667</v>
      </c>
      <c r="B351" s="1">
        <f>IFERROR(__xludf.DUMMYFUNCTION("""COMPUTED_VALUE"""),173.03)</f>
        <v>173.03</v>
      </c>
      <c r="C351" s="4">
        <f>IFERROR(__xludf.DUMMYFUNCTION("""COMPUTED_VALUE"""),44789.66666666667)</f>
        <v>44789.66667</v>
      </c>
      <c r="D351" s="1">
        <f>IFERROR(__xludf.DUMMYFUNCTION("""COMPUTED_VALUE"""),292.71)</f>
        <v>292.71</v>
      </c>
      <c r="E351" s="4">
        <f>IFERROR(__xludf.DUMMYFUNCTION("""COMPUTED_VALUE"""),44789.66666666667)</f>
        <v>44789.66667</v>
      </c>
      <c r="F351" s="1">
        <f>IFERROR(__xludf.DUMMYFUNCTION("""COMPUTED_VALUE"""),91.46)</f>
        <v>91.46</v>
      </c>
      <c r="G351" s="4">
        <f>IFERROR(__xludf.DUMMYFUNCTION("""COMPUTED_VALUE"""),44789.66666666667)</f>
        <v>44789.66667</v>
      </c>
      <c r="H351" s="1">
        <f>IFERROR(__xludf.DUMMYFUNCTION("""COMPUTED_VALUE"""),156.41)</f>
        <v>156.41</v>
      </c>
      <c r="I351" s="5">
        <f t="shared" si="1"/>
        <v>0.008784603826</v>
      </c>
      <c r="K351" s="5">
        <f t="shared" si="2"/>
        <v>-0.004748727409</v>
      </c>
      <c r="L351" s="5">
        <f t="shared" si="3"/>
        <v>0.008090968729</v>
      </c>
      <c r="M351" s="5">
        <f t="shared" si="4"/>
        <v>0.008247554504</v>
      </c>
      <c r="Q351" s="5"/>
    </row>
    <row r="352">
      <c r="A352" s="4">
        <f>IFERROR(__xludf.DUMMYFUNCTION("""COMPUTED_VALUE"""),44790.66666666667)</f>
        <v>44790.66667</v>
      </c>
      <c r="B352" s="1">
        <f>IFERROR(__xludf.DUMMYFUNCTION("""COMPUTED_VALUE"""),174.55)</f>
        <v>174.55</v>
      </c>
      <c r="C352" s="4">
        <f>IFERROR(__xludf.DUMMYFUNCTION("""COMPUTED_VALUE"""),44790.66666666667)</f>
        <v>44790.66667</v>
      </c>
      <c r="D352" s="1">
        <f>IFERROR(__xludf.DUMMYFUNCTION("""COMPUTED_VALUE"""),291.32)</f>
        <v>291.32</v>
      </c>
      <c r="E352" s="4">
        <f>IFERROR(__xludf.DUMMYFUNCTION("""COMPUTED_VALUE"""),44790.66666666667)</f>
        <v>44790.66667</v>
      </c>
      <c r="F352" s="1">
        <f>IFERROR(__xludf.DUMMYFUNCTION("""COMPUTED_VALUE"""),92.2)</f>
        <v>92.2</v>
      </c>
      <c r="G352" s="4">
        <f>IFERROR(__xludf.DUMMYFUNCTION("""COMPUTED_VALUE"""),44790.66666666667)</f>
        <v>44790.66667</v>
      </c>
      <c r="H352" s="1">
        <f>IFERROR(__xludf.DUMMYFUNCTION("""COMPUTED_VALUE"""),157.7)</f>
        <v>157.7</v>
      </c>
      <c r="I352" s="5">
        <f t="shared" si="1"/>
        <v>-0.002291606989</v>
      </c>
      <c r="K352" s="5">
        <f t="shared" si="2"/>
        <v>-0.003947549087</v>
      </c>
      <c r="L352" s="5">
        <f t="shared" si="3"/>
        <v>0.02364425163</v>
      </c>
      <c r="M352" s="5">
        <f t="shared" si="4"/>
        <v>0.008370323399</v>
      </c>
      <c r="Q352" s="5"/>
    </row>
    <row r="353">
      <c r="A353" s="4">
        <f>IFERROR(__xludf.DUMMYFUNCTION("""COMPUTED_VALUE"""),44791.66666666667)</f>
        <v>44791.66667</v>
      </c>
      <c r="B353" s="1">
        <f>IFERROR(__xludf.DUMMYFUNCTION("""COMPUTED_VALUE"""),174.15)</f>
        <v>174.15</v>
      </c>
      <c r="C353" s="4">
        <f>IFERROR(__xludf.DUMMYFUNCTION("""COMPUTED_VALUE"""),44791.66666666667)</f>
        <v>44791.66667</v>
      </c>
      <c r="D353" s="1">
        <f>IFERROR(__xludf.DUMMYFUNCTION("""COMPUTED_VALUE"""),290.17)</f>
        <v>290.17</v>
      </c>
      <c r="E353" s="4">
        <f>IFERROR(__xludf.DUMMYFUNCTION("""COMPUTED_VALUE"""),44791.66666666667)</f>
        <v>44791.66667</v>
      </c>
      <c r="F353" s="1">
        <f>IFERROR(__xludf.DUMMYFUNCTION("""COMPUTED_VALUE"""),94.38)</f>
        <v>94.38</v>
      </c>
      <c r="G353" s="4">
        <f>IFERROR(__xludf.DUMMYFUNCTION("""COMPUTED_VALUE"""),44791.66666666667)</f>
        <v>44791.66667</v>
      </c>
      <c r="H353" s="1">
        <f>IFERROR(__xludf.DUMMYFUNCTION("""COMPUTED_VALUE"""),159.02)</f>
        <v>159.02</v>
      </c>
      <c r="I353" s="5">
        <f t="shared" si="1"/>
        <v>-0.01510192363</v>
      </c>
      <c r="K353" s="5">
        <f t="shared" si="2"/>
        <v>-0.01385394769</v>
      </c>
      <c r="L353" s="5">
        <f t="shared" si="3"/>
        <v>-0.003178639542</v>
      </c>
      <c r="M353" s="5">
        <f t="shared" si="4"/>
        <v>-0.008363727833</v>
      </c>
      <c r="Q353" s="5"/>
    </row>
    <row r="354">
      <c r="A354" s="4">
        <f>IFERROR(__xludf.DUMMYFUNCTION("""COMPUTED_VALUE"""),44792.66666666667)</f>
        <v>44792.66667</v>
      </c>
      <c r="B354" s="1">
        <f>IFERROR(__xludf.DUMMYFUNCTION("""COMPUTED_VALUE"""),171.52)</f>
        <v>171.52</v>
      </c>
      <c r="C354" s="4">
        <f>IFERROR(__xludf.DUMMYFUNCTION("""COMPUTED_VALUE"""),44792.66666666667)</f>
        <v>44792.66667</v>
      </c>
      <c r="D354" s="1">
        <f>IFERROR(__xludf.DUMMYFUNCTION("""COMPUTED_VALUE"""),286.15)</f>
        <v>286.15</v>
      </c>
      <c r="E354" s="4">
        <f>IFERROR(__xludf.DUMMYFUNCTION("""COMPUTED_VALUE"""),44792.66666666667)</f>
        <v>44792.66667</v>
      </c>
      <c r="F354" s="1">
        <f>IFERROR(__xludf.DUMMYFUNCTION("""COMPUTED_VALUE"""),94.08)</f>
        <v>94.08</v>
      </c>
      <c r="G354" s="4">
        <f>IFERROR(__xludf.DUMMYFUNCTION("""COMPUTED_VALUE"""),44792.66666666667)</f>
        <v>44792.66667</v>
      </c>
      <c r="H354" s="1">
        <f>IFERROR(__xludf.DUMMYFUNCTION("""COMPUTED_VALUE"""),157.69)</f>
        <v>157.69</v>
      </c>
      <c r="I354" s="5">
        <f t="shared" si="1"/>
        <v>-0.02302938433</v>
      </c>
      <c r="K354" s="5">
        <f t="shared" si="2"/>
        <v>-0.02935523327</v>
      </c>
      <c r="L354" s="5">
        <f t="shared" si="3"/>
        <v>-0.000744047619</v>
      </c>
      <c r="M354" s="5">
        <f t="shared" si="4"/>
        <v>-0.005009829412</v>
      </c>
      <c r="Q354" s="5"/>
    </row>
    <row r="355">
      <c r="A355" s="4">
        <f>IFERROR(__xludf.DUMMYFUNCTION("""COMPUTED_VALUE"""),44795.66666666667)</f>
        <v>44795.66667</v>
      </c>
      <c r="B355" s="1">
        <f>IFERROR(__xludf.DUMMYFUNCTION("""COMPUTED_VALUE"""),167.57)</f>
        <v>167.57</v>
      </c>
      <c r="C355" s="4">
        <f>IFERROR(__xludf.DUMMYFUNCTION("""COMPUTED_VALUE"""),44795.66666666667)</f>
        <v>44795.66667</v>
      </c>
      <c r="D355" s="1">
        <f>IFERROR(__xludf.DUMMYFUNCTION("""COMPUTED_VALUE"""),277.75)</f>
        <v>277.75</v>
      </c>
      <c r="E355" s="4">
        <f>IFERROR(__xludf.DUMMYFUNCTION("""COMPUTED_VALUE"""),44795.66666666667)</f>
        <v>44795.66667</v>
      </c>
      <c r="F355" s="1">
        <f>IFERROR(__xludf.DUMMYFUNCTION("""COMPUTED_VALUE"""),94.01)</f>
        <v>94.01</v>
      </c>
      <c r="G355" s="4">
        <f>IFERROR(__xludf.DUMMYFUNCTION("""COMPUTED_VALUE"""),44795.66666666667)</f>
        <v>44795.66667</v>
      </c>
      <c r="H355" s="1">
        <f>IFERROR(__xludf.DUMMYFUNCTION("""COMPUTED_VALUE"""),156.9)</f>
        <v>156.9</v>
      </c>
      <c r="I355" s="5">
        <f t="shared" si="1"/>
        <v>-0.002029002805</v>
      </c>
      <c r="K355" s="5">
        <f t="shared" si="2"/>
        <v>-0.004716471647</v>
      </c>
      <c r="L355" s="5">
        <f t="shared" si="3"/>
        <v>0.04244229337</v>
      </c>
      <c r="M355" s="5">
        <f t="shared" si="4"/>
        <v>0.03244104525</v>
      </c>
      <c r="Q355" s="5"/>
    </row>
    <row r="356">
      <c r="A356" s="4">
        <f>IFERROR(__xludf.DUMMYFUNCTION("""COMPUTED_VALUE"""),44796.66666666667)</f>
        <v>44796.66667</v>
      </c>
      <c r="B356" s="1">
        <f>IFERROR(__xludf.DUMMYFUNCTION("""COMPUTED_VALUE"""),167.23)</f>
        <v>167.23</v>
      </c>
      <c r="C356" s="4">
        <f>IFERROR(__xludf.DUMMYFUNCTION("""COMPUTED_VALUE"""),44796.66666666667)</f>
        <v>44796.66667</v>
      </c>
      <c r="D356" s="1">
        <f>IFERROR(__xludf.DUMMYFUNCTION("""COMPUTED_VALUE"""),276.44)</f>
        <v>276.44</v>
      </c>
      <c r="E356" s="4">
        <f>IFERROR(__xludf.DUMMYFUNCTION("""COMPUTED_VALUE"""),44796.66666666667)</f>
        <v>44796.66667</v>
      </c>
      <c r="F356" s="1">
        <f>IFERROR(__xludf.DUMMYFUNCTION("""COMPUTED_VALUE"""),98.0)</f>
        <v>98</v>
      </c>
      <c r="G356" s="4">
        <f>IFERROR(__xludf.DUMMYFUNCTION("""COMPUTED_VALUE"""),44796.66666666667)</f>
        <v>44796.66667</v>
      </c>
      <c r="H356" s="1">
        <f>IFERROR(__xludf.DUMMYFUNCTION("""COMPUTED_VALUE"""),161.99)</f>
        <v>161.99</v>
      </c>
      <c r="I356" s="5">
        <f t="shared" si="1"/>
        <v>0.001793936495</v>
      </c>
      <c r="K356" s="5">
        <f t="shared" si="2"/>
        <v>-0.002351323976</v>
      </c>
      <c r="L356" s="5">
        <f t="shared" si="3"/>
        <v>0.005918367347</v>
      </c>
      <c r="M356" s="5">
        <f t="shared" si="4"/>
        <v>0.007407864683</v>
      </c>
      <c r="Q356" s="5"/>
    </row>
    <row r="357">
      <c r="A357" s="4">
        <f>IFERROR(__xludf.DUMMYFUNCTION("""COMPUTED_VALUE"""),44797.66666666667)</f>
        <v>44797.66667</v>
      </c>
      <c r="B357" s="1">
        <f>IFERROR(__xludf.DUMMYFUNCTION("""COMPUTED_VALUE"""),167.53)</f>
        <v>167.53</v>
      </c>
      <c r="C357" s="4">
        <f>IFERROR(__xludf.DUMMYFUNCTION("""COMPUTED_VALUE"""),44797.66666666667)</f>
        <v>44797.66667</v>
      </c>
      <c r="D357" s="1">
        <f>IFERROR(__xludf.DUMMYFUNCTION("""COMPUTED_VALUE"""),275.79)</f>
        <v>275.79</v>
      </c>
      <c r="E357" s="4">
        <f>IFERROR(__xludf.DUMMYFUNCTION("""COMPUTED_VALUE"""),44797.66666666667)</f>
        <v>44797.66667</v>
      </c>
      <c r="F357" s="1">
        <f>IFERROR(__xludf.DUMMYFUNCTION("""COMPUTED_VALUE"""),98.58)</f>
        <v>98.58</v>
      </c>
      <c r="G357" s="4">
        <f>IFERROR(__xludf.DUMMYFUNCTION("""COMPUTED_VALUE"""),44797.66666666667)</f>
        <v>44797.66667</v>
      </c>
      <c r="H357" s="1">
        <f>IFERROR(__xludf.DUMMYFUNCTION("""COMPUTED_VALUE"""),163.19)</f>
        <v>163.19</v>
      </c>
      <c r="I357" s="5">
        <f t="shared" si="1"/>
        <v>0.01492270041</v>
      </c>
      <c r="K357" s="5">
        <f t="shared" si="2"/>
        <v>0.01109539867</v>
      </c>
      <c r="L357" s="5">
        <f t="shared" si="3"/>
        <v>0.005173463177</v>
      </c>
      <c r="M357" s="5">
        <f t="shared" si="4"/>
        <v>0.008762791838</v>
      </c>
      <c r="Q357" s="5"/>
    </row>
    <row r="358">
      <c r="A358" s="4">
        <f>IFERROR(__xludf.DUMMYFUNCTION("""COMPUTED_VALUE"""),44798.66666666667)</f>
        <v>44798.66667</v>
      </c>
      <c r="B358" s="1">
        <f>IFERROR(__xludf.DUMMYFUNCTION("""COMPUTED_VALUE"""),170.03)</f>
        <v>170.03</v>
      </c>
      <c r="C358" s="4">
        <f>IFERROR(__xludf.DUMMYFUNCTION("""COMPUTED_VALUE"""),44798.66666666667)</f>
        <v>44798.66667</v>
      </c>
      <c r="D358" s="1">
        <f>IFERROR(__xludf.DUMMYFUNCTION("""COMPUTED_VALUE"""),278.85)</f>
        <v>278.85</v>
      </c>
      <c r="E358" s="4">
        <f>IFERROR(__xludf.DUMMYFUNCTION("""COMPUTED_VALUE"""),44798.66666666667)</f>
        <v>44798.66667</v>
      </c>
      <c r="F358" s="1">
        <f>IFERROR(__xludf.DUMMYFUNCTION("""COMPUTED_VALUE"""),99.09)</f>
        <v>99.09</v>
      </c>
      <c r="G358" s="4">
        <f>IFERROR(__xludf.DUMMYFUNCTION("""COMPUTED_VALUE"""),44798.66666666667)</f>
        <v>44798.66667</v>
      </c>
      <c r="H358" s="1">
        <f>IFERROR(__xludf.DUMMYFUNCTION("""COMPUTED_VALUE"""),164.62)</f>
        <v>164.62</v>
      </c>
      <c r="I358" s="5">
        <f t="shared" si="1"/>
        <v>-0.03769922955</v>
      </c>
      <c r="K358" s="5">
        <f t="shared" si="2"/>
        <v>-0.03858705397</v>
      </c>
      <c r="L358" s="5">
        <f t="shared" si="3"/>
        <v>-0.01231203956</v>
      </c>
      <c r="M358" s="5">
        <f t="shared" si="4"/>
        <v>-0.007350261208</v>
      </c>
      <c r="Q358" s="5"/>
    </row>
    <row r="359">
      <c r="A359" s="4">
        <f>IFERROR(__xludf.DUMMYFUNCTION("""COMPUTED_VALUE"""),44799.66666666667)</f>
        <v>44799.66667</v>
      </c>
      <c r="B359" s="1">
        <f>IFERROR(__xludf.DUMMYFUNCTION("""COMPUTED_VALUE"""),163.62)</f>
        <v>163.62</v>
      </c>
      <c r="C359" s="4">
        <f>IFERROR(__xludf.DUMMYFUNCTION("""COMPUTED_VALUE"""),44799.66666666667)</f>
        <v>44799.66667</v>
      </c>
      <c r="D359" s="1">
        <f>IFERROR(__xludf.DUMMYFUNCTION("""COMPUTED_VALUE"""),268.09)</f>
        <v>268.09</v>
      </c>
      <c r="E359" s="4">
        <f>IFERROR(__xludf.DUMMYFUNCTION("""COMPUTED_VALUE"""),44799.66666666667)</f>
        <v>44799.66667</v>
      </c>
      <c r="F359" s="1">
        <f>IFERROR(__xludf.DUMMYFUNCTION("""COMPUTED_VALUE"""),97.87)</f>
        <v>97.87</v>
      </c>
      <c r="G359" s="4">
        <f>IFERROR(__xludf.DUMMYFUNCTION("""COMPUTED_VALUE"""),44799.66666666667)</f>
        <v>44799.66667</v>
      </c>
      <c r="H359" s="1">
        <f>IFERROR(__xludf.DUMMYFUNCTION("""COMPUTED_VALUE"""),163.41)</f>
        <v>163.41</v>
      </c>
      <c r="I359" s="5">
        <f t="shared" si="1"/>
        <v>-0.01369025791</v>
      </c>
      <c r="K359" s="5">
        <f t="shared" si="2"/>
        <v>-0.01066805923</v>
      </c>
      <c r="L359" s="5">
        <f t="shared" si="3"/>
        <v>0.02298968019</v>
      </c>
      <c r="M359" s="5">
        <f t="shared" si="4"/>
        <v>0.007465883361</v>
      </c>
      <c r="Q359" s="5"/>
    </row>
    <row r="360">
      <c r="A360" s="4">
        <f>IFERROR(__xludf.DUMMYFUNCTION("""COMPUTED_VALUE"""),44802.66666666667)</f>
        <v>44802.66667</v>
      </c>
      <c r="B360" s="1">
        <f>IFERROR(__xludf.DUMMYFUNCTION("""COMPUTED_VALUE"""),161.38)</f>
        <v>161.38</v>
      </c>
      <c r="C360" s="4">
        <f>IFERROR(__xludf.DUMMYFUNCTION("""COMPUTED_VALUE"""),44802.66666666667)</f>
        <v>44802.66667</v>
      </c>
      <c r="D360" s="1">
        <f>IFERROR(__xludf.DUMMYFUNCTION("""COMPUTED_VALUE"""),265.23)</f>
        <v>265.23</v>
      </c>
      <c r="E360" s="4">
        <f>IFERROR(__xludf.DUMMYFUNCTION("""COMPUTED_VALUE"""),44802.66666666667)</f>
        <v>44802.66667</v>
      </c>
      <c r="F360" s="1">
        <f>IFERROR(__xludf.DUMMYFUNCTION("""COMPUTED_VALUE"""),100.12)</f>
        <v>100.12</v>
      </c>
      <c r="G360" s="4">
        <f>IFERROR(__xludf.DUMMYFUNCTION("""COMPUTED_VALUE"""),44802.66666666667)</f>
        <v>44802.66667</v>
      </c>
      <c r="H360" s="1">
        <f>IFERROR(__xludf.DUMMYFUNCTION("""COMPUTED_VALUE"""),164.63)</f>
        <v>164.63</v>
      </c>
      <c r="I360" s="5">
        <f t="shared" si="1"/>
        <v>-0.01530549015</v>
      </c>
      <c r="K360" s="5">
        <f t="shared" si="2"/>
        <v>-0.008520906383</v>
      </c>
      <c r="L360" s="5">
        <f t="shared" si="3"/>
        <v>-0.0380543348</v>
      </c>
      <c r="M360" s="5">
        <f t="shared" si="4"/>
        <v>-0.02435765049</v>
      </c>
      <c r="Q360" s="5"/>
    </row>
    <row r="361">
      <c r="A361" s="4">
        <f>IFERROR(__xludf.DUMMYFUNCTION("""COMPUTED_VALUE"""),44803.66666666667)</f>
        <v>44803.66667</v>
      </c>
      <c r="B361" s="1">
        <f>IFERROR(__xludf.DUMMYFUNCTION("""COMPUTED_VALUE"""),158.91)</f>
        <v>158.91</v>
      </c>
      <c r="C361" s="4">
        <f>IFERROR(__xludf.DUMMYFUNCTION("""COMPUTED_VALUE"""),44803.66666666667)</f>
        <v>44803.66667</v>
      </c>
      <c r="D361" s="1">
        <f>IFERROR(__xludf.DUMMYFUNCTION("""COMPUTED_VALUE"""),262.97)</f>
        <v>262.97</v>
      </c>
      <c r="E361" s="4">
        <f>IFERROR(__xludf.DUMMYFUNCTION("""COMPUTED_VALUE"""),44803.66666666667)</f>
        <v>44803.66667</v>
      </c>
      <c r="F361" s="1">
        <f>IFERROR(__xludf.DUMMYFUNCTION("""COMPUTED_VALUE"""),96.31)</f>
        <v>96.31</v>
      </c>
      <c r="G361" s="4">
        <f>IFERROR(__xludf.DUMMYFUNCTION("""COMPUTED_VALUE"""),44803.66666666667)</f>
        <v>44803.66667</v>
      </c>
      <c r="H361" s="1">
        <f>IFERROR(__xludf.DUMMYFUNCTION("""COMPUTED_VALUE"""),160.62)</f>
        <v>160.62</v>
      </c>
      <c r="I361" s="5">
        <f t="shared" si="1"/>
        <v>-0.0106349506</v>
      </c>
      <c r="K361" s="5">
        <f t="shared" si="2"/>
        <v>-0.005704072708</v>
      </c>
      <c r="L361" s="5">
        <f t="shared" si="3"/>
        <v>-0.007475859205</v>
      </c>
      <c r="M361" s="5">
        <f t="shared" si="4"/>
        <v>-0.01593823932</v>
      </c>
      <c r="Q361" s="5"/>
    </row>
    <row r="362">
      <c r="A362" s="4">
        <f>IFERROR(__xludf.DUMMYFUNCTION("""COMPUTED_VALUE"""),44804.66666666667)</f>
        <v>44804.66667</v>
      </c>
      <c r="B362" s="1">
        <f>IFERROR(__xludf.DUMMYFUNCTION("""COMPUTED_VALUE"""),157.22)</f>
        <v>157.22</v>
      </c>
      <c r="C362" s="4">
        <f>IFERROR(__xludf.DUMMYFUNCTION("""COMPUTED_VALUE"""),44804.66666666667)</f>
        <v>44804.66667</v>
      </c>
      <c r="D362" s="1">
        <f>IFERROR(__xludf.DUMMYFUNCTION("""COMPUTED_VALUE"""),261.47)</f>
        <v>261.47</v>
      </c>
      <c r="E362" s="4">
        <f>IFERROR(__xludf.DUMMYFUNCTION("""COMPUTED_VALUE"""),44804.66666666667)</f>
        <v>44804.66667</v>
      </c>
      <c r="F362" s="1">
        <f>IFERROR(__xludf.DUMMYFUNCTION("""COMPUTED_VALUE"""),95.59)</f>
        <v>95.59</v>
      </c>
      <c r="G362" s="4">
        <f>IFERROR(__xludf.DUMMYFUNCTION("""COMPUTED_VALUE"""),44804.66666666667)</f>
        <v>44804.66667</v>
      </c>
      <c r="H362" s="1">
        <f>IFERROR(__xludf.DUMMYFUNCTION("""COMPUTED_VALUE"""),158.06)</f>
        <v>158.06</v>
      </c>
      <c r="I362" s="5">
        <f t="shared" si="1"/>
        <v>0.004706780308</v>
      </c>
      <c r="K362" s="5">
        <f t="shared" si="2"/>
        <v>-0.004092247677</v>
      </c>
      <c r="L362" s="5">
        <f t="shared" si="3"/>
        <v>-0.01799351397</v>
      </c>
      <c r="M362" s="5">
        <f t="shared" si="4"/>
        <v>-0.01594331267</v>
      </c>
      <c r="Q362" s="5"/>
    </row>
    <row r="363">
      <c r="A363" s="4">
        <f>IFERROR(__xludf.DUMMYFUNCTION("""COMPUTED_VALUE"""),44805.66666666667)</f>
        <v>44805.66667</v>
      </c>
      <c r="B363" s="1">
        <f>IFERROR(__xludf.DUMMYFUNCTION("""COMPUTED_VALUE"""),157.96)</f>
        <v>157.96</v>
      </c>
      <c r="C363" s="4">
        <f>IFERROR(__xludf.DUMMYFUNCTION("""COMPUTED_VALUE"""),44805.66666666667)</f>
        <v>44805.66667</v>
      </c>
      <c r="D363" s="1">
        <f>IFERROR(__xludf.DUMMYFUNCTION("""COMPUTED_VALUE"""),260.4)</f>
        <v>260.4</v>
      </c>
      <c r="E363" s="4">
        <f>IFERROR(__xludf.DUMMYFUNCTION("""COMPUTED_VALUE"""),44805.66666666667)</f>
        <v>44805.66667</v>
      </c>
      <c r="F363" s="1">
        <f>IFERROR(__xludf.DUMMYFUNCTION("""COMPUTED_VALUE"""),93.87)</f>
        <v>93.87</v>
      </c>
      <c r="G363" s="4">
        <f>IFERROR(__xludf.DUMMYFUNCTION("""COMPUTED_VALUE"""),44805.66666666667)</f>
        <v>44805.66667</v>
      </c>
      <c r="H363" s="1">
        <f>IFERROR(__xludf.DUMMYFUNCTION("""COMPUTED_VALUE"""),155.54)</f>
        <v>155.54</v>
      </c>
      <c r="I363" s="5">
        <f t="shared" si="1"/>
        <v>-0.01361104077</v>
      </c>
      <c r="K363" s="5">
        <f t="shared" si="2"/>
        <v>-0.01666666667</v>
      </c>
      <c r="L363" s="5">
        <f t="shared" si="3"/>
        <v>0.01832321295</v>
      </c>
      <c r="M363" s="5">
        <f t="shared" si="4"/>
        <v>0.01485148515</v>
      </c>
      <c r="Q363" s="5"/>
    </row>
    <row r="364">
      <c r="A364" s="4">
        <f>IFERROR(__xludf.DUMMYFUNCTION("""COMPUTED_VALUE"""),44806.66666666667)</f>
        <v>44806.66667</v>
      </c>
      <c r="B364" s="1">
        <f>IFERROR(__xludf.DUMMYFUNCTION("""COMPUTED_VALUE"""),155.81)</f>
        <v>155.81</v>
      </c>
      <c r="C364" s="4">
        <f>IFERROR(__xludf.DUMMYFUNCTION("""COMPUTED_VALUE"""),44806.66666666667)</f>
        <v>44806.66667</v>
      </c>
      <c r="D364" s="1">
        <f>IFERROR(__xludf.DUMMYFUNCTION("""COMPUTED_VALUE"""),256.06)</f>
        <v>256.06</v>
      </c>
      <c r="E364" s="4">
        <f>IFERROR(__xludf.DUMMYFUNCTION("""COMPUTED_VALUE"""),44806.66666666667)</f>
        <v>44806.66667</v>
      </c>
      <c r="F364" s="1">
        <f>IFERROR(__xludf.DUMMYFUNCTION("""COMPUTED_VALUE"""),95.59)</f>
        <v>95.59</v>
      </c>
      <c r="G364" s="4">
        <f>IFERROR(__xludf.DUMMYFUNCTION("""COMPUTED_VALUE"""),44806.66666666667)</f>
        <v>44806.66667</v>
      </c>
      <c r="H364" s="1">
        <f>IFERROR(__xludf.DUMMYFUNCTION("""COMPUTED_VALUE"""),157.85)</f>
        <v>157.85</v>
      </c>
      <c r="I364" s="5">
        <f t="shared" si="1"/>
        <v>-0.008215133817</v>
      </c>
      <c r="K364" s="5">
        <f t="shared" si="2"/>
        <v>-0.01097399047</v>
      </c>
      <c r="L364" s="5">
        <f t="shared" si="3"/>
        <v>-0.006695261011</v>
      </c>
      <c r="M364" s="5">
        <f t="shared" si="4"/>
        <v>-0.004624643649</v>
      </c>
      <c r="Q364" s="5"/>
    </row>
    <row r="365">
      <c r="A365" s="4">
        <f>IFERROR(__xludf.DUMMYFUNCTION("""COMPUTED_VALUE"""),44810.66666666667)</f>
        <v>44810.66667</v>
      </c>
      <c r="B365" s="1">
        <f>IFERROR(__xludf.DUMMYFUNCTION("""COMPUTED_VALUE"""),154.53)</f>
        <v>154.53</v>
      </c>
      <c r="C365" s="4">
        <f>IFERROR(__xludf.DUMMYFUNCTION("""COMPUTED_VALUE"""),44810.66666666667)</f>
        <v>44810.66667</v>
      </c>
      <c r="D365" s="1">
        <f>IFERROR(__xludf.DUMMYFUNCTION("""COMPUTED_VALUE"""),253.25)</f>
        <v>253.25</v>
      </c>
      <c r="E365" s="4">
        <f>IFERROR(__xludf.DUMMYFUNCTION("""COMPUTED_VALUE"""),44810.66666666667)</f>
        <v>44810.66667</v>
      </c>
      <c r="F365" s="1">
        <f>IFERROR(__xludf.DUMMYFUNCTION("""COMPUTED_VALUE"""),94.95)</f>
        <v>94.95</v>
      </c>
      <c r="G365" s="4">
        <f>IFERROR(__xludf.DUMMYFUNCTION("""COMPUTED_VALUE"""),44810.66666666667)</f>
        <v>44810.66667</v>
      </c>
      <c r="H365" s="1">
        <f>IFERROR(__xludf.DUMMYFUNCTION("""COMPUTED_VALUE"""),157.12)</f>
        <v>157.12</v>
      </c>
      <c r="I365" s="5">
        <f t="shared" si="1"/>
        <v>0.009253866563</v>
      </c>
      <c r="K365" s="5">
        <f t="shared" si="2"/>
        <v>0.01911154985</v>
      </c>
      <c r="L365" s="5">
        <f t="shared" si="3"/>
        <v>-0.008530805687</v>
      </c>
      <c r="M365" s="5">
        <f t="shared" si="4"/>
        <v>-0.01279276986</v>
      </c>
      <c r="Q365" s="5"/>
    </row>
    <row r="366">
      <c r="A366" s="4">
        <f>IFERROR(__xludf.DUMMYFUNCTION("""COMPUTED_VALUE"""),44811.66666666667)</f>
        <v>44811.66667</v>
      </c>
      <c r="B366" s="1">
        <f>IFERROR(__xludf.DUMMYFUNCTION("""COMPUTED_VALUE"""),155.96)</f>
        <v>155.96</v>
      </c>
      <c r="C366" s="4">
        <f>IFERROR(__xludf.DUMMYFUNCTION("""COMPUTED_VALUE"""),44811.66666666667)</f>
        <v>44811.66667</v>
      </c>
      <c r="D366" s="1">
        <f>IFERROR(__xludf.DUMMYFUNCTION("""COMPUTED_VALUE"""),258.09)</f>
        <v>258.09</v>
      </c>
      <c r="E366" s="4">
        <f>IFERROR(__xludf.DUMMYFUNCTION("""COMPUTED_VALUE"""),44811.66666666667)</f>
        <v>44811.66667</v>
      </c>
      <c r="F366" s="1">
        <f>IFERROR(__xludf.DUMMYFUNCTION("""COMPUTED_VALUE"""),94.14)</f>
        <v>94.14</v>
      </c>
      <c r="G366" s="4">
        <f>IFERROR(__xludf.DUMMYFUNCTION("""COMPUTED_VALUE"""),44811.66666666667)</f>
        <v>44811.66667</v>
      </c>
      <c r="H366" s="1">
        <f>IFERROR(__xludf.DUMMYFUNCTION("""COMPUTED_VALUE"""),155.11)</f>
        <v>155.11</v>
      </c>
      <c r="I366" s="5">
        <f t="shared" si="1"/>
        <v>-0.009617850731</v>
      </c>
      <c r="K366" s="5">
        <f t="shared" si="2"/>
        <v>0.001666085474</v>
      </c>
      <c r="L366" s="5">
        <f t="shared" si="3"/>
        <v>0.008179307414</v>
      </c>
      <c r="M366" s="5">
        <f t="shared" si="4"/>
        <v>0.005415511572</v>
      </c>
      <c r="Q366" s="5"/>
    </row>
    <row r="367">
      <c r="A367" s="4">
        <f>IFERROR(__xludf.DUMMYFUNCTION("""COMPUTED_VALUE"""),44812.66666666667)</f>
        <v>44812.66667</v>
      </c>
      <c r="B367" s="1">
        <f>IFERROR(__xludf.DUMMYFUNCTION("""COMPUTED_VALUE"""),154.46)</f>
        <v>154.46</v>
      </c>
      <c r="C367" s="4">
        <f>IFERROR(__xludf.DUMMYFUNCTION("""COMPUTED_VALUE"""),44812.66666666667)</f>
        <v>44812.66667</v>
      </c>
      <c r="D367" s="1">
        <f>IFERROR(__xludf.DUMMYFUNCTION("""COMPUTED_VALUE"""),258.52)</f>
        <v>258.52</v>
      </c>
      <c r="E367" s="4">
        <f>IFERROR(__xludf.DUMMYFUNCTION("""COMPUTED_VALUE"""),44812.66666666667)</f>
        <v>44812.66667</v>
      </c>
      <c r="F367" s="1">
        <f>IFERROR(__xludf.DUMMYFUNCTION("""COMPUTED_VALUE"""),94.91)</f>
        <v>94.91</v>
      </c>
      <c r="G367" s="4">
        <f>IFERROR(__xludf.DUMMYFUNCTION("""COMPUTED_VALUE"""),44812.66666666667)</f>
        <v>44812.66667</v>
      </c>
      <c r="H367" s="1">
        <f>IFERROR(__xludf.DUMMYFUNCTION("""COMPUTED_VALUE"""),155.95)</f>
        <v>155.95</v>
      </c>
      <c r="I367" s="5">
        <f t="shared" si="1"/>
        <v>0.01883982908</v>
      </c>
      <c r="K367" s="5">
        <f t="shared" si="2"/>
        <v>0.02297694569</v>
      </c>
      <c r="L367" s="5">
        <f t="shared" si="3"/>
        <v>0.0167527131</v>
      </c>
      <c r="M367" s="5">
        <f t="shared" si="4"/>
        <v>0.02577749279</v>
      </c>
      <c r="Q367" s="5"/>
    </row>
    <row r="368">
      <c r="A368" s="4">
        <f>IFERROR(__xludf.DUMMYFUNCTION("""COMPUTED_VALUE"""),44813.66666666667)</f>
        <v>44813.66667</v>
      </c>
      <c r="B368" s="1">
        <f>IFERROR(__xludf.DUMMYFUNCTION("""COMPUTED_VALUE"""),157.37)</f>
        <v>157.37</v>
      </c>
      <c r="C368" s="4">
        <f>IFERROR(__xludf.DUMMYFUNCTION("""COMPUTED_VALUE"""),44813.66666666667)</f>
        <v>44813.66667</v>
      </c>
      <c r="D368" s="1">
        <f>IFERROR(__xludf.DUMMYFUNCTION("""COMPUTED_VALUE"""),264.46)</f>
        <v>264.46</v>
      </c>
      <c r="E368" s="4">
        <f>IFERROR(__xludf.DUMMYFUNCTION("""COMPUTED_VALUE"""),44813.66666666667)</f>
        <v>44813.66667</v>
      </c>
      <c r="F368" s="1">
        <f>IFERROR(__xludf.DUMMYFUNCTION("""COMPUTED_VALUE"""),96.5)</f>
        <v>96.5</v>
      </c>
      <c r="G368" s="4">
        <f>IFERROR(__xludf.DUMMYFUNCTION("""COMPUTED_VALUE"""),44813.66666666667)</f>
        <v>44813.66667</v>
      </c>
      <c r="H368" s="1">
        <f>IFERROR(__xludf.DUMMYFUNCTION("""COMPUTED_VALUE"""),159.97)</f>
        <v>159.97</v>
      </c>
      <c r="I368" s="5">
        <f t="shared" si="1"/>
        <v>0.03850797484</v>
      </c>
      <c r="K368" s="5">
        <f t="shared" si="2"/>
        <v>0.008281025486</v>
      </c>
      <c r="L368" s="5">
        <f t="shared" si="3"/>
        <v>0.01150259067</v>
      </c>
      <c r="M368" s="5">
        <f t="shared" si="4"/>
        <v>0.0158154654</v>
      </c>
      <c r="Q368" s="5"/>
    </row>
    <row r="369">
      <c r="A369" s="4">
        <f>IFERROR(__xludf.DUMMYFUNCTION("""COMPUTED_VALUE"""),44816.66666666667)</f>
        <v>44816.66667</v>
      </c>
      <c r="B369" s="1">
        <f>IFERROR(__xludf.DUMMYFUNCTION("""COMPUTED_VALUE"""),163.43)</f>
        <v>163.43</v>
      </c>
      <c r="C369" s="4">
        <f>IFERROR(__xludf.DUMMYFUNCTION("""COMPUTED_VALUE"""),44816.66666666667)</f>
        <v>44816.66667</v>
      </c>
      <c r="D369" s="1">
        <f>IFERROR(__xludf.DUMMYFUNCTION("""COMPUTED_VALUE"""),266.65)</f>
        <v>266.65</v>
      </c>
      <c r="E369" s="4">
        <f>IFERROR(__xludf.DUMMYFUNCTION("""COMPUTED_VALUE"""),44816.66666666667)</f>
        <v>44816.66667</v>
      </c>
      <c r="F369" s="1">
        <f>IFERROR(__xludf.DUMMYFUNCTION("""COMPUTED_VALUE"""),97.61)</f>
        <v>97.61</v>
      </c>
      <c r="G369" s="4">
        <f>IFERROR(__xludf.DUMMYFUNCTION("""COMPUTED_VALUE"""),44816.66666666667)</f>
        <v>44816.66667</v>
      </c>
      <c r="H369" s="1">
        <f>IFERROR(__xludf.DUMMYFUNCTION("""COMPUTED_VALUE"""),162.5)</f>
        <v>162.5</v>
      </c>
      <c r="I369" s="5">
        <f t="shared" si="1"/>
        <v>-0.058679557</v>
      </c>
      <c r="K369" s="5">
        <f t="shared" si="2"/>
        <v>-0.05497843615</v>
      </c>
      <c r="L369" s="5">
        <f t="shared" si="3"/>
        <v>-0.02335826247</v>
      </c>
      <c r="M369" s="5">
        <f t="shared" si="4"/>
        <v>-0.01901538462</v>
      </c>
      <c r="Q369" s="5"/>
    </row>
    <row r="370">
      <c r="A370" s="4">
        <f>IFERROR(__xludf.DUMMYFUNCTION("""COMPUTED_VALUE"""),44817.66666666667)</f>
        <v>44817.66667</v>
      </c>
      <c r="B370" s="1">
        <f>IFERROR(__xludf.DUMMYFUNCTION("""COMPUTED_VALUE"""),153.84)</f>
        <v>153.84</v>
      </c>
      <c r="C370" s="4">
        <f>IFERROR(__xludf.DUMMYFUNCTION("""COMPUTED_VALUE"""),44817.66666666667)</f>
        <v>44817.66667</v>
      </c>
      <c r="D370" s="1">
        <f>IFERROR(__xludf.DUMMYFUNCTION("""COMPUTED_VALUE"""),251.99)</f>
        <v>251.99</v>
      </c>
      <c r="E370" s="4">
        <f>IFERROR(__xludf.DUMMYFUNCTION("""COMPUTED_VALUE"""),44817.66666666667)</f>
        <v>44817.66667</v>
      </c>
      <c r="F370" s="1">
        <f>IFERROR(__xludf.DUMMYFUNCTION("""COMPUTED_VALUE"""),95.33)</f>
        <v>95.33</v>
      </c>
      <c r="G370" s="4">
        <f>IFERROR(__xludf.DUMMYFUNCTION("""COMPUTED_VALUE"""),44817.66666666667)</f>
        <v>44817.66667</v>
      </c>
      <c r="H370" s="1">
        <f>IFERROR(__xludf.DUMMYFUNCTION("""COMPUTED_VALUE"""),159.41)</f>
        <v>159.41</v>
      </c>
      <c r="I370" s="5">
        <f t="shared" si="1"/>
        <v>0.009555382215</v>
      </c>
      <c r="K370" s="5">
        <f t="shared" si="2"/>
        <v>0.0009127346323</v>
      </c>
      <c r="L370" s="5">
        <f t="shared" si="3"/>
        <v>0.02454631281</v>
      </c>
      <c r="M370" s="5">
        <f t="shared" si="4"/>
        <v>0.0242142902</v>
      </c>
      <c r="Q370" s="5"/>
    </row>
    <row r="371">
      <c r="A371" s="4">
        <f>IFERROR(__xludf.DUMMYFUNCTION("""COMPUTED_VALUE"""),44818.66666666667)</f>
        <v>44818.66667</v>
      </c>
      <c r="B371" s="1">
        <f>IFERROR(__xludf.DUMMYFUNCTION("""COMPUTED_VALUE"""),155.31)</f>
        <v>155.31</v>
      </c>
      <c r="C371" s="4">
        <f>IFERROR(__xludf.DUMMYFUNCTION("""COMPUTED_VALUE"""),44818.66666666667)</f>
        <v>44818.66667</v>
      </c>
      <c r="D371" s="1">
        <f>IFERROR(__xludf.DUMMYFUNCTION("""COMPUTED_VALUE"""),252.22)</f>
        <v>252.22</v>
      </c>
      <c r="E371" s="4">
        <f>IFERROR(__xludf.DUMMYFUNCTION("""COMPUTED_VALUE"""),44818.66666666667)</f>
        <v>44818.66667</v>
      </c>
      <c r="F371" s="1">
        <f>IFERROR(__xludf.DUMMYFUNCTION("""COMPUTED_VALUE"""),97.67)</f>
        <v>97.67</v>
      </c>
      <c r="G371" s="4">
        <f>IFERROR(__xludf.DUMMYFUNCTION("""COMPUTED_VALUE"""),44818.66666666667)</f>
        <v>44818.66667</v>
      </c>
      <c r="H371" s="1">
        <f>IFERROR(__xludf.DUMMYFUNCTION("""COMPUTED_VALUE"""),163.27)</f>
        <v>163.27</v>
      </c>
      <c r="I371" s="5">
        <f t="shared" si="1"/>
        <v>-0.01892988217</v>
      </c>
      <c r="K371" s="5">
        <f t="shared" si="2"/>
        <v>-0.02711918167</v>
      </c>
      <c r="L371" s="5">
        <f t="shared" si="3"/>
        <v>-0.02907750589</v>
      </c>
      <c r="M371" s="5">
        <f t="shared" si="4"/>
        <v>-0.01623078336</v>
      </c>
      <c r="Q371" s="5"/>
    </row>
    <row r="372">
      <c r="A372" s="4">
        <f>IFERROR(__xludf.DUMMYFUNCTION("""COMPUTED_VALUE"""),44819.66666666667)</f>
        <v>44819.66667</v>
      </c>
      <c r="B372" s="1">
        <f>IFERROR(__xludf.DUMMYFUNCTION("""COMPUTED_VALUE"""),152.37)</f>
        <v>152.37</v>
      </c>
      <c r="C372" s="4">
        <f>IFERROR(__xludf.DUMMYFUNCTION("""COMPUTED_VALUE"""),44819.66666666667)</f>
        <v>44819.66667</v>
      </c>
      <c r="D372" s="1">
        <f>IFERROR(__xludf.DUMMYFUNCTION("""COMPUTED_VALUE"""),245.38)</f>
        <v>245.38</v>
      </c>
      <c r="E372" s="4">
        <f>IFERROR(__xludf.DUMMYFUNCTION("""COMPUTED_VALUE"""),44819.66666666667)</f>
        <v>44819.66667</v>
      </c>
      <c r="F372" s="1">
        <f>IFERROR(__xludf.DUMMYFUNCTION("""COMPUTED_VALUE"""),94.83)</f>
        <v>94.83</v>
      </c>
      <c r="G372" s="4">
        <f>IFERROR(__xludf.DUMMYFUNCTION("""COMPUTED_VALUE"""),44819.66666666667)</f>
        <v>44819.66667</v>
      </c>
      <c r="H372" s="1">
        <f>IFERROR(__xludf.DUMMYFUNCTION("""COMPUTED_VALUE"""),160.62)</f>
        <v>160.62</v>
      </c>
      <c r="I372" s="5">
        <f t="shared" si="1"/>
        <v>-0.01096016276</v>
      </c>
      <c r="K372" s="5">
        <f t="shared" si="2"/>
        <v>-0.002608199527</v>
      </c>
      <c r="L372" s="5">
        <f t="shared" si="3"/>
        <v>-0.01708320152</v>
      </c>
      <c r="M372" s="5">
        <f t="shared" si="4"/>
        <v>-0.02596189765</v>
      </c>
      <c r="Q372" s="5"/>
    </row>
    <row r="373">
      <c r="A373" s="4">
        <f>IFERROR(__xludf.DUMMYFUNCTION("""COMPUTED_VALUE"""),44820.66666666667)</f>
        <v>44820.66667</v>
      </c>
      <c r="B373" s="1">
        <f>IFERROR(__xludf.DUMMYFUNCTION("""COMPUTED_VALUE"""),150.7)</f>
        <v>150.7</v>
      </c>
      <c r="C373" s="4">
        <f>IFERROR(__xludf.DUMMYFUNCTION("""COMPUTED_VALUE"""),44820.66666666667)</f>
        <v>44820.66667</v>
      </c>
      <c r="D373" s="1">
        <f>IFERROR(__xludf.DUMMYFUNCTION("""COMPUTED_VALUE"""),244.74)</f>
        <v>244.74</v>
      </c>
      <c r="E373" s="4">
        <f>IFERROR(__xludf.DUMMYFUNCTION("""COMPUTED_VALUE"""),44820.66666666667)</f>
        <v>44820.66667</v>
      </c>
      <c r="F373" s="1">
        <f>IFERROR(__xludf.DUMMYFUNCTION("""COMPUTED_VALUE"""),93.21)</f>
        <v>93.21</v>
      </c>
      <c r="G373" s="4">
        <f>IFERROR(__xludf.DUMMYFUNCTION("""COMPUTED_VALUE"""),44820.66666666667)</f>
        <v>44820.66667</v>
      </c>
      <c r="H373" s="1">
        <f>IFERROR(__xludf.DUMMYFUNCTION("""COMPUTED_VALUE"""),156.45)</f>
        <v>156.45</v>
      </c>
      <c r="I373" s="5">
        <f t="shared" si="1"/>
        <v>0.02508294625</v>
      </c>
      <c r="K373" s="5">
        <f t="shared" si="2"/>
        <v>-0.0008989131323</v>
      </c>
      <c r="L373" s="5">
        <f t="shared" si="3"/>
        <v>-0.0001072846261</v>
      </c>
      <c r="M373" s="5">
        <f t="shared" si="4"/>
        <v>0.002876318313</v>
      </c>
      <c r="Q373" s="5"/>
    </row>
    <row r="374">
      <c r="A374" s="4">
        <f>IFERROR(__xludf.DUMMYFUNCTION("""COMPUTED_VALUE"""),44823.66666666667)</f>
        <v>44823.66667</v>
      </c>
      <c r="B374" s="1">
        <f>IFERROR(__xludf.DUMMYFUNCTION("""COMPUTED_VALUE"""),154.48)</f>
        <v>154.48</v>
      </c>
      <c r="C374" s="4">
        <f>IFERROR(__xludf.DUMMYFUNCTION("""COMPUTED_VALUE"""),44823.66666666667)</f>
        <v>44823.66667</v>
      </c>
      <c r="D374" s="1">
        <f>IFERROR(__xludf.DUMMYFUNCTION("""COMPUTED_VALUE"""),244.52)</f>
        <v>244.52</v>
      </c>
      <c r="E374" s="4">
        <f>IFERROR(__xludf.DUMMYFUNCTION("""COMPUTED_VALUE"""),44823.66666666667)</f>
        <v>44823.66667</v>
      </c>
      <c r="F374" s="1">
        <f>IFERROR(__xludf.DUMMYFUNCTION("""COMPUTED_VALUE"""),93.2)</f>
        <v>93.2</v>
      </c>
      <c r="G374" s="4">
        <f>IFERROR(__xludf.DUMMYFUNCTION("""COMPUTED_VALUE"""),44823.66666666667)</f>
        <v>44823.66667</v>
      </c>
      <c r="H374" s="1">
        <f>IFERROR(__xludf.DUMMYFUNCTION("""COMPUTED_VALUE"""),156.9)</f>
        <v>156.9</v>
      </c>
      <c r="I374" s="5">
        <f t="shared" si="1"/>
        <v>0.01566545831</v>
      </c>
      <c r="K374" s="5">
        <f t="shared" si="2"/>
        <v>-0.008465565189</v>
      </c>
      <c r="L374" s="5">
        <f t="shared" si="3"/>
        <v>-0.008154506438</v>
      </c>
      <c r="M374" s="5">
        <f t="shared" si="4"/>
        <v>-0.003951561504</v>
      </c>
      <c r="Q374" s="5"/>
    </row>
    <row r="375">
      <c r="A375" s="4">
        <f>IFERROR(__xludf.DUMMYFUNCTION("""COMPUTED_VALUE"""),44824.66666666667)</f>
        <v>44824.66667</v>
      </c>
      <c r="B375" s="1">
        <f>IFERROR(__xludf.DUMMYFUNCTION("""COMPUTED_VALUE"""),156.9)</f>
        <v>156.9</v>
      </c>
      <c r="C375" s="4">
        <f>IFERROR(__xludf.DUMMYFUNCTION("""COMPUTED_VALUE"""),44824.66666666667)</f>
        <v>44824.66667</v>
      </c>
      <c r="D375" s="1">
        <f>IFERROR(__xludf.DUMMYFUNCTION("""COMPUTED_VALUE"""),242.45)</f>
        <v>242.45</v>
      </c>
      <c r="E375" s="4">
        <f>IFERROR(__xludf.DUMMYFUNCTION("""COMPUTED_VALUE"""),44824.66666666667)</f>
        <v>44824.66667</v>
      </c>
      <c r="F375" s="1">
        <f>IFERROR(__xludf.DUMMYFUNCTION("""COMPUTED_VALUE"""),92.44)</f>
        <v>92.44</v>
      </c>
      <c r="G375" s="4">
        <f>IFERROR(__xludf.DUMMYFUNCTION("""COMPUTED_VALUE"""),44824.66666666667)</f>
        <v>44824.66667</v>
      </c>
      <c r="H375" s="1">
        <f>IFERROR(__xludf.DUMMYFUNCTION("""COMPUTED_VALUE"""),156.28)</f>
        <v>156.28</v>
      </c>
      <c r="I375" s="5">
        <f t="shared" si="1"/>
        <v>-0.02026768642</v>
      </c>
      <c r="K375" s="5">
        <f t="shared" si="2"/>
        <v>-0.01443596618</v>
      </c>
      <c r="L375" s="5">
        <f t="shared" si="3"/>
        <v>-0.01611856339</v>
      </c>
      <c r="M375" s="5">
        <f t="shared" si="4"/>
        <v>-0.008126439724</v>
      </c>
      <c r="Q375" s="5"/>
    </row>
    <row r="376">
      <c r="A376" s="4">
        <f>IFERROR(__xludf.DUMMYFUNCTION("""COMPUTED_VALUE"""),44825.66666666667)</f>
        <v>44825.66667</v>
      </c>
      <c r="B376" s="1">
        <f>IFERROR(__xludf.DUMMYFUNCTION("""COMPUTED_VALUE"""),153.72)</f>
        <v>153.72</v>
      </c>
      <c r="C376" s="4">
        <f>IFERROR(__xludf.DUMMYFUNCTION("""COMPUTED_VALUE"""),44825.66666666667)</f>
        <v>44825.66667</v>
      </c>
      <c r="D376" s="1">
        <f>IFERROR(__xludf.DUMMYFUNCTION("""COMPUTED_VALUE"""),238.95)</f>
        <v>238.95</v>
      </c>
      <c r="E376" s="4">
        <f>IFERROR(__xludf.DUMMYFUNCTION("""COMPUTED_VALUE"""),44825.66666666667)</f>
        <v>44825.66667</v>
      </c>
      <c r="F376" s="1">
        <f>IFERROR(__xludf.DUMMYFUNCTION("""COMPUTED_VALUE"""),90.95)</f>
        <v>90.95</v>
      </c>
      <c r="G376" s="4">
        <f>IFERROR(__xludf.DUMMYFUNCTION("""COMPUTED_VALUE"""),44825.66666666667)</f>
        <v>44825.66667</v>
      </c>
      <c r="H376" s="1">
        <f>IFERROR(__xludf.DUMMYFUNCTION("""COMPUTED_VALUE"""),155.01)</f>
        <v>155.01</v>
      </c>
      <c r="I376" s="5">
        <f t="shared" si="1"/>
        <v>-0.006375227687</v>
      </c>
      <c r="K376" s="5">
        <f t="shared" si="2"/>
        <v>0.008495501151</v>
      </c>
      <c r="L376" s="5">
        <f t="shared" si="3"/>
        <v>-0.004178119846</v>
      </c>
      <c r="M376" s="5">
        <f t="shared" si="4"/>
        <v>-0.0007741436036</v>
      </c>
      <c r="Q376" s="5"/>
    </row>
    <row r="377">
      <c r="A377" s="4">
        <f>IFERROR(__xludf.DUMMYFUNCTION("""COMPUTED_VALUE"""),44826.66666666667)</f>
        <v>44826.66667</v>
      </c>
      <c r="B377" s="1">
        <f>IFERROR(__xludf.DUMMYFUNCTION("""COMPUTED_VALUE"""),152.74)</f>
        <v>152.74</v>
      </c>
      <c r="C377" s="4">
        <f>IFERROR(__xludf.DUMMYFUNCTION("""COMPUTED_VALUE"""),44826.66666666667)</f>
        <v>44826.66667</v>
      </c>
      <c r="D377" s="1">
        <f>IFERROR(__xludf.DUMMYFUNCTION("""COMPUTED_VALUE"""),240.98)</f>
        <v>240.98</v>
      </c>
      <c r="E377" s="4">
        <f>IFERROR(__xludf.DUMMYFUNCTION("""COMPUTED_VALUE"""),44826.66666666667)</f>
        <v>44826.66667</v>
      </c>
      <c r="F377" s="1">
        <f>IFERROR(__xludf.DUMMYFUNCTION("""COMPUTED_VALUE"""),90.57)</f>
        <v>90.57</v>
      </c>
      <c r="G377" s="4">
        <f>IFERROR(__xludf.DUMMYFUNCTION("""COMPUTED_VALUE"""),44826.66666666667)</f>
        <v>44826.66667</v>
      </c>
      <c r="H377" s="1">
        <f>IFERROR(__xludf.DUMMYFUNCTION("""COMPUTED_VALUE"""),154.89)</f>
        <v>154.89</v>
      </c>
      <c r="I377" s="5">
        <f t="shared" si="1"/>
        <v>-0.01512373969</v>
      </c>
      <c r="K377" s="5">
        <f t="shared" si="2"/>
        <v>-0.01269814922</v>
      </c>
      <c r="L377" s="5">
        <f t="shared" si="3"/>
        <v>-0.05321850502</v>
      </c>
      <c r="M377" s="5">
        <f t="shared" si="4"/>
        <v>-0.06533669055</v>
      </c>
      <c r="Q377" s="5"/>
    </row>
    <row r="378">
      <c r="A378" s="4">
        <f>IFERROR(__xludf.DUMMYFUNCTION("""COMPUTED_VALUE"""),44827.66666666667)</f>
        <v>44827.66667</v>
      </c>
      <c r="B378" s="1">
        <f>IFERROR(__xludf.DUMMYFUNCTION("""COMPUTED_VALUE"""),150.43)</f>
        <v>150.43</v>
      </c>
      <c r="C378" s="4">
        <f>IFERROR(__xludf.DUMMYFUNCTION("""COMPUTED_VALUE"""),44827.66666666667)</f>
        <v>44827.66667</v>
      </c>
      <c r="D378" s="1">
        <f>IFERROR(__xludf.DUMMYFUNCTION("""COMPUTED_VALUE"""),237.92)</f>
        <v>237.92</v>
      </c>
      <c r="E378" s="4">
        <f>IFERROR(__xludf.DUMMYFUNCTION("""COMPUTED_VALUE"""),44827.66666666667)</f>
        <v>44827.66667</v>
      </c>
      <c r="F378" s="1">
        <f>IFERROR(__xludf.DUMMYFUNCTION("""COMPUTED_VALUE"""),85.75)</f>
        <v>85.75</v>
      </c>
      <c r="G378" s="4">
        <f>IFERROR(__xludf.DUMMYFUNCTION("""COMPUTED_VALUE"""),44827.66666666667)</f>
        <v>44827.66667</v>
      </c>
      <c r="H378" s="1">
        <f>IFERROR(__xludf.DUMMYFUNCTION("""COMPUTED_VALUE"""),144.77)</f>
        <v>144.77</v>
      </c>
      <c r="I378" s="5">
        <f t="shared" si="1"/>
        <v>0.002260187463</v>
      </c>
      <c r="K378" s="5">
        <f t="shared" si="2"/>
        <v>-0.001975453934</v>
      </c>
      <c r="L378" s="5">
        <f t="shared" si="3"/>
        <v>-0.02064139942</v>
      </c>
      <c r="M378" s="5">
        <f t="shared" si="4"/>
        <v>-0.02631760724</v>
      </c>
      <c r="Q378" s="5"/>
    </row>
    <row r="379">
      <c r="A379" s="4">
        <f>IFERROR(__xludf.DUMMYFUNCTION("""COMPUTED_VALUE"""),44830.66666666667)</f>
        <v>44830.66667</v>
      </c>
      <c r="B379" s="1">
        <f>IFERROR(__xludf.DUMMYFUNCTION("""COMPUTED_VALUE"""),150.77)</f>
        <v>150.77</v>
      </c>
      <c r="C379" s="4">
        <f>IFERROR(__xludf.DUMMYFUNCTION("""COMPUTED_VALUE"""),44830.66666666667)</f>
        <v>44830.66667</v>
      </c>
      <c r="D379" s="1">
        <f>IFERROR(__xludf.DUMMYFUNCTION("""COMPUTED_VALUE"""),237.45)</f>
        <v>237.45</v>
      </c>
      <c r="E379" s="4">
        <f>IFERROR(__xludf.DUMMYFUNCTION("""COMPUTED_VALUE"""),44830.66666666667)</f>
        <v>44830.66667</v>
      </c>
      <c r="F379" s="1">
        <f>IFERROR(__xludf.DUMMYFUNCTION("""COMPUTED_VALUE"""),83.98)</f>
        <v>83.98</v>
      </c>
      <c r="G379" s="4">
        <f>IFERROR(__xludf.DUMMYFUNCTION("""COMPUTED_VALUE"""),44830.66666666667)</f>
        <v>44830.66667</v>
      </c>
      <c r="H379" s="1">
        <f>IFERROR(__xludf.DUMMYFUNCTION("""COMPUTED_VALUE"""),140.96)</f>
        <v>140.96</v>
      </c>
      <c r="I379" s="5">
        <f t="shared" si="1"/>
        <v>0.006566293029</v>
      </c>
      <c r="K379" s="5">
        <f t="shared" si="2"/>
        <v>-0.004379869446</v>
      </c>
      <c r="L379" s="5">
        <f t="shared" si="3"/>
        <v>0.0209573708</v>
      </c>
      <c r="M379" s="5">
        <f t="shared" si="4"/>
        <v>0.0004256526674</v>
      </c>
      <c r="Q379" s="5"/>
    </row>
    <row r="380">
      <c r="A380" s="4">
        <f>IFERROR(__xludf.DUMMYFUNCTION("""COMPUTED_VALUE"""),44831.66666666667)</f>
        <v>44831.66667</v>
      </c>
      <c r="B380" s="1">
        <f>IFERROR(__xludf.DUMMYFUNCTION("""COMPUTED_VALUE"""),151.76)</f>
        <v>151.76</v>
      </c>
      <c r="C380" s="4">
        <f>IFERROR(__xludf.DUMMYFUNCTION("""COMPUTED_VALUE"""),44831.66666666667)</f>
        <v>44831.66667</v>
      </c>
      <c r="D380" s="1">
        <f>IFERROR(__xludf.DUMMYFUNCTION("""COMPUTED_VALUE"""),236.41)</f>
        <v>236.41</v>
      </c>
      <c r="E380" s="4">
        <f>IFERROR(__xludf.DUMMYFUNCTION("""COMPUTED_VALUE"""),44831.66666666667)</f>
        <v>44831.66667</v>
      </c>
      <c r="F380" s="1">
        <f>IFERROR(__xludf.DUMMYFUNCTION("""COMPUTED_VALUE"""),85.74)</f>
        <v>85.74</v>
      </c>
      <c r="G380" s="4">
        <f>IFERROR(__xludf.DUMMYFUNCTION("""COMPUTED_VALUE"""),44831.66666666667)</f>
        <v>44831.66667</v>
      </c>
      <c r="H380" s="1">
        <f>IFERROR(__xludf.DUMMYFUNCTION("""COMPUTED_VALUE"""),141.02)</f>
        <v>141.02</v>
      </c>
      <c r="I380" s="5">
        <f t="shared" si="1"/>
        <v>-0.01265155509</v>
      </c>
      <c r="K380" s="5">
        <f t="shared" si="2"/>
        <v>0.01971151813</v>
      </c>
      <c r="L380" s="5">
        <f t="shared" si="3"/>
        <v>0.03638908328</v>
      </c>
      <c r="M380" s="5">
        <f t="shared" si="4"/>
        <v>0.03375407744</v>
      </c>
      <c r="Q380" s="5"/>
    </row>
    <row r="381">
      <c r="A381" s="4">
        <f>IFERROR(__xludf.DUMMYFUNCTION("""COMPUTED_VALUE"""),44832.66666666667)</f>
        <v>44832.66667</v>
      </c>
      <c r="B381" s="1">
        <f>IFERROR(__xludf.DUMMYFUNCTION("""COMPUTED_VALUE"""),149.84)</f>
        <v>149.84</v>
      </c>
      <c r="C381" s="4">
        <f>IFERROR(__xludf.DUMMYFUNCTION("""COMPUTED_VALUE"""),44832.66666666667)</f>
        <v>44832.66667</v>
      </c>
      <c r="D381" s="1">
        <f>IFERROR(__xludf.DUMMYFUNCTION("""COMPUTED_VALUE"""),241.07)</f>
        <v>241.07</v>
      </c>
      <c r="E381" s="4">
        <f>IFERROR(__xludf.DUMMYFUNCTION("""COMPUTED_VALUE"""),44832.66666666667)</f>
        <v>44832.66667</v>
      </c>
      <c r="F381" s="1">
        <f>IFERROR(__xludf.DUMMYFUNCTION("""COMPUTED_VALUE"""),88.86)</f>
        <v>88.86</v>
      </c>
      <c r="G381" s="4">
        <f>IFERROR(__xludf.DUMMYFUNCTION("""COMPUTED_VALUE"""),44832.66666666667)</f>
        <v>44832.66667</v>
      </c>
      <c r="H381" s="1">
        <f>IFERROR(__xludf.DUMMYFUNCTION("""COMPUTED_VALUE"""),145.78)</f>
        <v>145.78</v>
      </c>
      <c r="I381" s="5">
        <f t="shared" si="1"/>
        <v>-0.04911906033</v>
      </c>
      <c r="K381" s="5">
        <f t="shared" si="2"/>
        <v>-0.01480897665</v>
      </c>
      <c r="L381" s="5">
        <f t="shared" si="3"/>
        <v>-0.002025658339</v>
      </c>
      <c r="M381" s="5">
        <f t="shared" si="4"/>
        <v>-0.006928248045</v>
      </c>
      <c r="Q381" s="5"/>
    </row>
    <row r="382">
      <c r="A382" s="4">
        <f>IFERROR(__xludf.DUMMYFUNCTION("""COMPUTED_VALUE"""),44833.66666666667)</f>
        <v>44833.66667</v>
      </c>
      <c r="B382" s="1">
        <f>IFERROR(__xludf.DUMMYFUNCTION("""COMPUTED_VALUE"""),142.48)</f>
        <v>142.48</v>
      </c>
      <c r="C382" s="4">
        <f>IFERROR(__xludf.DUMMYFUNCTION("""COMPUTED_VALUE"""),44833.66666666667)</f>
        <v>44833.66667</v>
      </c>
      <c r="D382" s="1">
        <f>IFERROR(__xludf.DUMMYFUNCTION("""COMPUTED_VALUE"""),237.5)</f>
        <v>237.5</v>
      </c>
      <c r="E382" s="4">
        <f>IFERROR(__xludf.DUMMYFUNCTION("""COMPUTED_VALUE"""),44833.66666666667)</f>
        <v>44833.66667</v>
      </c>
      <c r="F382" s="1">
        <f>IFERROR(__xludf.DUMMYFUNCTION("""COMPUTED_VALUE"""),88.68)</f>
        <v>88.68</v>
      </c>
      <c r="G382" s="4">
        <f>IFERROR(__xludf.DUMMYFUNCTION("""COMPUTED_VALUE"""),44833.66666666667)</f>
        <v>44833.66667</v>
      </c>
      <c r="H382" s="1">
        <f>IFERROR(__xludf.DUMMYFUNCTION("""COMPUTED_VALUE"""),144.77)</f>
        <v>144.77</v>
      </c>
      <c r="I382" s="5">
        <f t="shared" si="1"/>
        <v>-0.03003930376</v>
      </c>
      <c r="K382" s="5">
        <f t="shared" si="2"/>
        <v>-0.01936842105</v>
      </c>
      <c r="L382" s="5">
        <f t="shared" si="3"/>
        <v>-0.01544880469</v>
      </c>
      <c r="M382" s="5">
        <f t="shared" si="4"/>
        <v>-0.007598259308</v>
      </c>
      <c r="Q382" s="5"/>
    </row>
    <row r="383">
      <c r="A383" s="4">
        <f>IFERROR(__xludf.DUMMYFUNCTION("""COMPUTED_VALUE"""),44834.66666666667)</f>
        <v>44834.66667</v>
      </c>
      <c r="B383" s="1">
        <f>IFERROR(__xludf.DUMMYFUNCTION("""COMPUTED_VALUE"""),138.2)</f>
        <v>138.2</v>
      </c>
      <c r="C383" s="4">
        <f>IFERROR(__xludf.DUMMYFUNCTION("""COMPUTED_VALUE"""),44834.66666666667)</f>
        <v>44834.66667</v>
      </c>
      <c r="D383" s="1">
        <f>IFERROR(__xludf.DUMMYFUNCTION("""COMPUTED_VALUE"""),232.9)</f>
        <v>232.9</v>
      </c>
      <c r="E383" s="4">
        <f>IFERROR(__xludf.DUMMYFUNCTION("""COMPUTED_VALUE"""),44834.66666666667)</f>
        <v>44834.66667</v>
      </c>
      <c r="F383" s="1">
        <f>IFERROR(__xludf.DUMMYFUNCTION("""COMPUTED_VALUE"""),87.31)</f>
        <v>87.31</v>
      </c>
      <c r="G383" s="4">
        <f>IFERROR(__xludf.DUMMYFUNCTION("""COMPUTED_VALUE"""),44834.66666666667)</f>
        <v>44834.66667</v>
      </c>
      <c r="H383" s="1">
        <f>IFERROR(__xludf.DUMMYFUNCTION("""COMPUTED_VALUE"""),143.67)</f>
        <v>143.67</v>
      </c>
      <c r="I383" s="5">
        <f t="shared" si="1"/>
        <v>0.03075253256</v>
      </c>
      <c r="K383" s="5">
        <f t="shared" si="2"/>
        <v>0.0336625161</v>
      </c>
      <c r="L383" s="5">
        <f t="shared" si="3"/>
        <v>0.05280036651</v>
      </c>
      <c r="M383" s="5">
        <f t="shared" si="4"/>
        <v>0.05610078652</v>
      </c>
      <c r="Q383" s="5"/>
    </row>
    <row r="384">
      <c r="A384" s="4">
        <f>IFERROR(__xludf.DUMMYFUNCTION("""COMPUTED_VALUE"""),44837.66666666667)</f>
        <v>44837.66667</v>
      </c>
      <c r="B384" s="1">
        <f>IFERROR(__xludf.DUMMYFUNCTION("""COMPUTED_VALUE"""),142.45)</f>
        <v>142.45</v>
      </c>
      <c r="C384" s="4">
        <f>IFERROR(__xludf.DUMMYFUNCTION("""COMPUTED_VALUE"""),44837.66666666667)</f>
        <v>44837.66667</v>
      </c>
      <c r="D384" s="1">
        <f>IFERROR(__xludf.DUMMYFUNCTION("""COMPUTED_VALUE"""),240.74)</f>
        <v>240.74</v>
      </c>
      <c r="E384" s="4">
        <f>IFERROR(__xludf.DUMMYFUNCTION("""COMPUTED_VALUE"""),44837.66666666667)</f>
        <v>44837.66667</v>
      </c>
      <c r="F384" s="1">
        <f>IFERROR(__xludf.DUMMYFUNCTION("""COMPUTED_VALUE"""),91.92)</f>
        <v>91.92</v>
      </c>
      <c r="G384" s="4">
        <f>IFERROR(__xludf.DUMMYFUNCTION("""COMPUTED_VALUE"""),44837.66666666667)</f>
        <v>44837.66667</v>
      </c>
      <c r="H384" s="1">
        <f>IFERROR(__xludf.DUMMYFUNCTION("""COMPUTED_VALUE"""),151.73)</f>
        <v>151.73</v>
      </c>
      <c r="I384" s="5">
        <f t="shared" si="1"/>
        <v>0.02562302562</v>
      </c>
      <c r="K384" s="5">
        <f t="shared" si="2"/>
        <v>0.03381241173</v>
      </c>
      <c r="L384" s="5">
        <f t="shared" si="3"/>
        <v>0.03644473455</v>
      </c>
      <c r="M384" s="5">
        <f t="shared" si="4"/>
        <v>0.03888486127</v>
      </c>
      <c r="Q384" s="5"/>
    </row>
    <row r="385">
      <c r="A385" s="4">
        <f>IFERROR(__xludf.DUMMYFUNCTION("""COMPUTED_VALUE"""),44838.66666666667)</f>
        <v>44838.66667</v>
      </c>
      <c r="B385" s="1">
        <f>IFERROR(__xludf.DUMMYFUNCTION("""COMPUTED_VALUE"""),146.1)</f>
        <v>146.1</v>
      </c>
      <c r="C385" s="4">
        <f>IFERROR(__xludf.DUMMYFUNCTION("""COMPUTED_VALUE"""),44838.66666666667)</f>
        <v>44838.66667</v>
      </c>
      <c r="D385" s="1">
        <f>IFERROR(__xludf.DUMMYFUNCTION("""COMPUTED_VALUE"""),248.88)</f>
        <v>248.88</v>
      </c>
      <c r="E385" s="4">
        <f>IFERROR(__xludf.DUMMYFUNCTION("""COMPUTED_VALUE"""),44838.66666666667)</f>
        <v>44838.66667</v>
      </c>
      <c r="F385" s="1">
        <f>IFERROR(__xludf.DUMMYFUNCTION("""COMPUTED_VALUE"""),95.27)</f>
        <v>95.27</v>
      </c>
      <c r="G385" s="4">
        <f>IFERROR(__xludf.DUMMYFUNCTION("""COMPUTED_VALUE"""),44838.66666666667)</f>
        <v>44838.66667</v>
      </c>
      <c r="H385" s="1">
        <f>IFERROR(__xludf.DUMMYFUNCTION("""COMPUTED_VALUE"""),157.63)</f>
        <v>157.63</v>
      </c>
      <c r="I385" s="5">
        <f t="shared" si="1"/>
        <v>0.00205338809</v>
      </c>
      <c r="K385" s="5">
        <f t="shared" si="2"/>
        <v>0.001285760206</v>
      </c>
      <c r="L385" s="5">
        <f t="shared" si="3"/>
        <v>0.04041146216</v>
      </c>
      <c r="M385" s="5">
        <f t="shared" si="4"/>
        <v>0.005709573051</v>
      </c>
      <c r="Q385" s="5"/>
    </row>
    <row r="386">
      <c r="A386" s="4">
        <f>IFERROR(__xludf.DUMMYFUNCTION("""COMPUTED_VALUE"""),44839.66666666667)</f>
        <v>44839.66667</v>
      </c>
      <c r="B386" s="1">
        <f>IFERROR(__xludf.DUMMYFUNCTION("""COMPUTED_VALUE"""),146.4)</f>
        <v>146.4</v>
      </c>
      <c r="C386" s="4">
        <f>IFERROR(__xludf.DUMMYFUNCTION("""COMPUTED_VALUE"""),44839.66666666667)</f>
        <v>44839.66667</v>
      </c>
      <c r="D386" s="1">
        <f>IFERROR(__xludf.DUMMYFUNCTION("""COMPUTED_VALUE"""),249.2)</f>
        <v>249.2</v>
      </c>
      <c r="E386" s="4">
        <f>IFERROR(__xludf.DUMMYFUNCTION("""COMPUTED_VALUE"""),44839.66666666667)</f>
        <v>44839.66667</v>
      </c>
      <c r="F386" s="1">
        <f>IFERROR(__xludf.DUMMYFUNCTION("""COMPUTED_VALUE"""),99.12)</f>
        <v>99.12</v>
      </c>
      <c r="G386" s="4">
        <f>IFERROR(__xludf.DUMMYFUNCTION("""COMPUTED_VALUE"""),44839.66666666667)</f>
        <v>44839.66667</v>
      </c>
      <c r="H386" s="1">
        <f>IFERROR(__xludf.DUMMYFUNCTION("""COMPUTED_VALUE"""),158.53)</f>
        <v>158.53</v>
      </c>
      <c r="I386" s="5">
        <f t="shared" si="1"/>
        <v>-0.00662568306</v>
      </c>
      <c r="K386" s="5">
        <f t="shared" si="2"/>
        <v>-0.00967094703</v>
      </c>
      <c r="L386" s="5">
        <f t="shared" si="3"/>
        <v>0.02966101695</v>
      </c>
      <c r="M386" s="5">
        <f t="shared" si="4"/>
        <v>0.01822998801</v>
      </c>
      <c r="Q386" s="5"/>
    </row>
    <row r="387">
      <c r="A387" s="4">
        <f>IFERROR(__xludf.DUMMYFUNCTION("""COMPUTED_VALUE"""),44840.66666666667)</f>
        <v>44840.66667</v>
      </c>
      <c r="B387" s="1">
        <f>IFERROR(__xludf.DUMMYFUNCTION("""COMPUTED_VALUE"""),145.43)</f>
        <v>145.43</v>
      </c>
      <c r="C387" s="4">
        <f>IFERROR(__xludf.DUMMYFUNCTION("""COMPUTED_VALUE"""),44840.66666666667)</f>
        <v>44840.66667</v>
      </c>
      <c r="D387" s="1">
        <f>IFERROR(__xludf.DUMMYFUNCTION("""COMPUTED_VALUE"""),246.79)</f>
        <v>246.79</v>
      </c>
      <c r="E387" s="4">
        <f>IFERROR(__xludf.DUMMYFUNCTION("""COMPUTED_VALUE"""),44840.66666666667)</f>
        <v>44840.66667</v>
      </c>
      <c r="F387" s="1">
        <f>IFERROR(__xludf.DUMMYFUNCTION("""COMPUTED_VALUE"""),102.06)</f>
        <v>102.06</v>
      </c>
      <c r="G387" s="4">
        <f>IFERROR(__xludf.DUMMYFUNCTION("""COMPUTED_VALUE"""),44840.66666666667)</f>
        <v>44840.66667</v>
      </c>
      <c r="H387" s="1">
        <f>IFERROR(__xludf.DUMMYFUNCTION("""COMPUTED_VALUE"""),161.42)</f>
        <v>161.42</v>
      </c>
      <c r="I387" s="5">
        <f t="shared" si="1"/>
        <v>-0.03671869628</v>
      </c>
      <c r="K387" s="5">
        <f t="shared" si="2"/>
        <v>-0.0508529519</v>
      </c>
      <c r="L387" s="5">
        <f t="shared" si="3"/>
        <v>-0.01009210268</v>
      </c>
      <c r="M387" s="5">
        <f t="shared" si="4"/>
        <v>-0.008611076694</v>
      </c>
      <c r="Q387" s="5"/>
    </row>
    <row r="388">
      <c r="A388" s="4">
        <f>IFERROR(__xludf.DUMMYFUNCTION("""COMPUTED_VALUE"""),44841.66666666667)</f>
        <v>44841.66667</v>
      </c>
      <c r="B388" s="1">
        <f>IFERROR(__xludf.DUMMYFUNCTION("""COMPUTED_VALUE"""),140.09)</f>
        <v>140.09</v>
      </c>
      <c r="C388" s="4">
        <f>IFERROR(__xludf.DUMMYFUNCTION("""COMPUTED_VALUE"""),44841.66666666667)</f>
        <v>44841.66667</v>
      </c>
      <c r="D388" s="1">
        <f>IFERROR(__xludf.DUMMYFUNCTION("""COMPUTED_VALUE"""),234.24)</f>
        <v>234.24</v>
      </c>
      <c r="E388" s="4">
        <f>IFERROR(__xludf.DUMMYFUNCTION("""COMPUTED_VALUE"""),44841.66666666667)</f>
        <v>44841.66667</v>
      </c>
      <c r="F388" s="1">
        <f>IFERROR(__xludf.DUMMYFUNCTION("""COMPUTED_VALUE"""),101.03)</f>
        <v>101.03</v>
      </c>
      <c r="G388" s="4">
        <f>IFERROR(__xludf.DUMMYFUNCTION("""COMPUTED_VALUE"""),44841.66666666667)</f>
        <v>44841.66667</v>
      </c>
      <c r="H388" s="1">
        <f>IFERROR(__xludf.DUMMYFUNCTION("""COMPUTED_VALUE"""),160.03)</f>
        <v>160.03</v>
      </c>
      <c r="I388" s="5">
        <f t="shared" si="1"/>
        <v>0.002355628525</v>
      </c>
      <c r="K388" s="5">
        <f t="shared" si="2"/>
        <v>-0.02130293716</v>
      </c>
      <c r="L388" s="5">
        <f t="shared" si="3"/>
        <v>-0.02167672968</v>
      </c>
      <c r="M388" s="5">
        <f t="shared" si="4"/>
        <v>-0.01805911392</v>
      </c>
      <c r="Q388" s="5"/>
    </row>
    <row r="389">
      <c r="A389" s="4">
        <f>IFERROR(__xludf.DUMMYFUNCTION("""COMPUTED_VALUE"""),44844.66666666667)</f>
        <v>44844.66667</v>
      </c>
      <c r="B389" s="1">
        <f>IFERROR(__xludf.DUMMYFUNCTION("""COMPUTED_VALUE"""),140.42)</f>
        <v>140.42</v>
      </c>
      <c r="C389" s="4">
        <f>IFERROR(__xludf.DUMMYFUNCTION("""COMPUTED_VALUE"""),44844.66666666667)</f>
        <v>44844.66667</v>
      </c>
      <c r="D389" s="1">
        <f>IFERROR(__xludf.DUMMYFUNCTION("""COMPUTED_VALUE"""),229.25)</f>
        <v>229.25</v>
      </c>
      <c r="E389" s="4">
        <f>IFERROR(__xludf.DUMMYFUNCTION("""COMPUTED_VALUE"""),44844.66666666667)</f>
        <v>44844.66667</v>
      </c>
      <c r="F389" s="1">
        <f>IFERROR(__xludf.DUMMYFUNCTION("""COMPUTED_VALUE"""),98.84)</f>
        <v>98.84</v>
      </c>
      <c r="G389" s="4">
        <f>IFERROR(__xludf.DUMMYFUNCTION("""COMPUTED_VALUE"""),44844.66666666667)</f>
        <v>44844.66667</v>
      </c>
      <c r="H389" s="1">
        <f>IFERROR(__xludf.DUMMYFUNCTION("""COMPUTED_VALUE"""),157.14)</f>
        <v>157.14</v>
      </c>
      <c r="I389" s="5">
        <f t="shared" si="1"/>
        <v>-0.01025494944</v>
      </c>
      <c r="K389" s="5">
        <f t="shared" si="2"/>
        <v>-0.01675027263</v>
      </c>
      <c r="L389" s="5">
        <f t="shared" si="3"/>
        <v>-0.008498583569</v>
      </c>
      <c r="M389" s="5">
        <f t="shared" si="4"/>
        <v>0.000190912562</v>
      </c>
      <c r="Q389" s="5"/>
    </row>
    <row r="390">
      <c r="A390" s="4">
        <f>IFERROR(__xludf.DUMMYFUNCTION("""COMPUTED_VALUE"""),44845.66666666667)</f>
        <v>44845.66667</v>
      </c>
      <c r="B390" s="1">
        <f>IFERROR(__xludf.DUMMYFUNCTION("""COMPUTED_VALUE"""),138.98)</f>
        <v>138.98</v>
      </c>
      <c r="C390" s="4">
        <f>IFERROR(__xludf.DUMMYFUNCTION("""COMPUTED_VALUE"""),44845.66666666667)</f>
        <v>44845.66667</v>
      </c>
      <c r="D390" s="1">
        <f>IFERROR(__xludf.DUMMYFUNCTION("""COMPUTED_VALUE"""),225.41)</f>
        <v>225.41</v>
      </c>
      <c r="E390" s="4">
        <f>IFERROR(__xludf.DUMMYFUNCTION("""COMPUTED_VALUE"""),44845.66666666667)</f>
        <v>44845.66667</v>
      </c>
      <c r="F390" s="1">
        <f>IFERROR(__xludf.DUMMYFUNCTION("""COMPUTED_VALUE"""),98.0)</f>
        <v>98</v>
      </c>
      <c r="G390" s="4">
        <f>IFERROR(__xludf.DUMMYFUNCTION("""COMPUTED_VALUE"""),44845.66666666667)</f>
        <v>44845.66667</v>
      </c>
      <c r="H390" s="1">
        <f>IFERROR(__xludf.DUMMYFUNCTION("""COMPUTED_VALUE"""),157.17)</f>
        <v>157.17</v>
      </c>
      <c r="I390" s="5">
        <f t="shared" si="1"/>
        <v>-0.004604979134</v>
      </c>
      <c r="K390" s="5">
        <f t="shared" si="2"/>
        <v>0.001508362539</v>
      </c>
      <c r="L390" s="5">
        <f t="shared" si="3"/>
        <v>0.004387755102</v>
      </c>
      <c r="M390" s="5">
        <f t="shared" si="4"/>
        <v>0.002990392569</v>
      </c>
      <c r="Q390" s="5"/>
    </row>
    <row r="391">
      <c r="A391" s="4">
        <f>IFERROR(__xludf.DUMMYFUNCTION("""COMPUTED_VALUE"""),44846.66666666667)</f>
        <v>44846.66667</v>
      </c>
      <c r="B391" s="1">
        <f>IFERROR(__xludf.DUMMYFUNCTION("""COMPUTED_VALUE"""),138.34)</f>
        <v>138.34</v>
      </c>
      <c r="C391" s="4">
        <f>IFERROR(__xludf.DUMMYFUNCTION("""COMPUTED_VALUE"""),44846.66666666667)</f>
        <v>44846.66667</v>
      </c>
      <c r="D391" s="1">
        <f>IFERROR(__xludf.DUMMYFUNCTION("""COMPUTED_VALUE"""),225.75)</f>
        <v>225.75</v>
      </c>
      <c r="E391" s="4">
        <f>IFERROR(__xludf.DUMMYFUNCTION("""COMPUTED_VALUE"""),44846.66666666667)</f>
        <v>44846.66667</v>
      </c>
      <c r="F391" s="1">
        <f>IFERROR(__xludf.DUMMYFUNCTION("""COMPUTED_VALUE"""),98.43)</f>
        <v>98.43</v>
      </c>
      <c r="G391" s="4">
        <f>IFERROR(__xludf.DUMMYFUNCTION("""COMPUTED_VALUE"""),44846.66666666667)</f>
        <v>44846.66667</v>
      </c>
      <c r="H391" s="1">
        <f>IFERROR(__xludf.DUMMYFUNCTION("""COMPUTED_VALUE"""),157.64)</f>
        <v>157.64</v>
      </c>
      <c r="I391" s="5">
        <f t="shared" si="1"/>
        <v>0.03361283794</v>
      </c>
      <c r="K391" s="5">
        <f t="shared" si="2"/>
        <v>0.03760797342</v>
      </c>
      <c r="L391" s="5">
        <f t="shared" si="3"/>
        <v>0.0349486945</v>
      </c>
      <c r="M391" s="5">
        <f t="shared" si="4"/>
        <v>0.04846485664</v>
      </c>
      <c r="Q391" s="5"/>
    </row>
    <row r="392">
      <c r="A392" s="4">
        <f>IFERROR(__xludf.DUMMYFUNCTION("""COMPUTED_VALUE"""),44847.66666666667)</f>
        <v>44847.66667</v>
      </c>
      <c r="B392" s="1">
        <f>IFERROR(__xludf.DUMMYFUNCTION("""COMPUTED_VALUE"""),142.99)</f>
        <v>142.99</v>
      </c>
      <c r="C392" s="4">
        <f>IFERROR(__xludf.DUMMYFUNCTION("""COMPUTED_VALUE"""),44847.66666666667)</f>
        <v>44847.66667</v>
      </c>
      <c r="D392" s="1">
        <f>IFERROR(__xludf.DUMMYFUNCTION("""COMPUTED_VALUE"""),234.24)</f>
        <v>234.24</v>
      </c>
      <c r="E392" s="4">
        <f>IFERROR(__xludf.DUMMYFUNCTION("""COMPUTED_VALUE"""),44847.66666666667)</f>
        <v>44847.66667</v>
      </c>
      <c r="F392" s="1">
        <f>IFERROR(__xludf.DUMMYFUNCTION("""COMPUTED_VALUE"""),101.87)</f>
        <v>101.87</v>
      </c>
      <c r="G392" s="4">
        <f>IFERROR(__xludf.DUMMYFUNCTION("""COMPUTED_VALUE"""),44847.66666666667)</f>
        <v>44847.66667</v>
      </c>
      <c r="H392" s="1">
        <f>IFERROR(__xludf.DUMMYFUNCTION("""COMPUTED_VALUE"""),165.28)</f>
        <v>165.28</v>
      </c>
      <c r="I392" s="5">
        <f t="shared" si="1"/>
        <v>-0.03224001678</v>
      </c>
      <c r="K392" s="5">
        <f t="shared" si="2"/>
        <v>-0.02424863388</v>
      </c>
      <c r="L392" s="5">
        <f t="shared" si="3"/>
        <v>-0.02630803966</v>
      </c>
      <c r="M392" s="5">
        <f t="shared" si="4"/>
        <v>-0.03109874153</v>
      </c>
      <c r="Q392" s="5"/>
    </row>
    <row r="393">
      <c r="A393" s="4">
        <f>IFERROR(__xludf.DUMMYFUNCTION("""COMPUTED_VALUE"""),44848.66666666667)</f>
        <v>44848.66667</v>
      </c>
      <c r="B393" s="1">
        <f>IFERROR(__xludf.DUMMYFUNCTION("""COMPUTED_VALUE"""),138.38)</f>
        <v>138.38</v>
      </c>
      <c r="C393" s="4">
        <f>IFERROR(__xludf.DUMMYFUNCTION("""COMPUTED_VALUE"""),44848.66666666667)</f>
        <v>44848.66667</v>
      </c>
      <c r="D393" s="1">
        <f>IFERROR(__xludf.DUMMYFUNCTION("""COMPUTED_VALUE"""),228.56)</f>
        <v>228.56</v>
      </c>
      <c r="E393" s="4">
        <f>IFERROR(__xludf.DUMMYFUNCTION("""COMPUTED_VALUE"""),44848.66666666667)</f>
        <v>44848.66667</v>
      </c>
      <c r="F393" s="1">
        <f>IFERROR(__xludf.DUMMYFUNCTION("""COMPUTED_VALUE"""),99.19)</f>
        <v>99.19</v>
      </c>
      <c r="G393" s="4">
        <f>IFERROR(__xludf.DUMMYFUNCTION("""COMPUTED_VALUE"""),44848.66666666667)</f>
        <v>44848.66667</v>
      </c>
      <c r="H393" s="1">
        <f>IFERROR(__xludf.DUMMYFUNCTION("""COMPUTED_VALUE"""),160.14)</f>
        <v>160.14</v>
      </c>
      <c r="I393" s="5">
        <f t="shared" si="1"/>
        <v>0.02912270559</v>
      </c>
      <c r="K393" s="5">
        <f t="shared" si="2"/>
        <v>0.03924571229</v>
      </c>
      <c r="L393" s="5">
        <f t="shared" si="3"/>
        <v>0.01441677588</v>
      </c>
      <c r="M393" s="5">
        <f t="shared" si="4"/>
        <v>0.007306107156</v>
      </c>
      <c r="Q393" s="5"/>
    </row>
    <row r="394">
      <c r="A394" s="4">
        <f>IFERROR(__xludf.DUMMYFUNCTION("""COMPUTED_VALUE"""),44851.66666666667)</f>
        <v>44851.66667</v>
      </c>
      <c r="B394" s="1">
        <f>IFERROR(__xludf.DUMMYFUNCTION("""COMPUTED_VALUE"""),142.41)</f>
        <v>142.41</v>
      </c>
      <c r="C394" s="4">
        <f>IFERROR(__xludf.DUMMYFUNCTION("""COMPUTED_VALUE"""),44851.66666666667)</f>
        <v>44851.66667</v>
      </c>
      <c r="D394" s="1">
        <f>IFERROR(__xludf.DUMMYFUNCTION("""COMPUTED_VALUE"""),237.53)</f>
        <v>237.53</v>
      </c>
      <c r="E394" s="4">
        <f>IFERROR(__xludf.DUMMYFUNCTION("""COMPUTED_VALUE"""),44851.66666666667)</f>
        <v>44851.66667</v>
      </c>
      <c r="F394" s="1">
        <f>IFERROR(__xludf.DUMMYFUNCTION("""COMPUTED_VALUE"""),100.62)</f>
        <v>100.62</v>
      </c>
      <c r="G394" s="4">
        <f>IFERROR(__xludf.DUMMYFUNCTION("""COMPUTED_VALUE"""),44851.66666666667)</f>
        <v>44851.66667</v>
      </c>
      <c r="H394" s="1">
        <f>IFERROR(__xludf.DUMMYFUNCTION("""COMPUTED_VALUE"""),161.31)</f>
        <v>161.31</v>
      </c>
      <c r="I394" s="5">
        <f t="shared" si="1"/>
        <v>0.009409451583</v>
      </c>
      <c r="K394" s="5">
        <f t="shared" si="2"/>
        <v>0.004083694691</v>
      </c>
      <c r="L394" s="5">
        <f t="shared" si="3"/>
        <v>0.001788908766</v>
      </c>
      <c r="M394" s="5">
        <f t="shared" si="4"/>
        <v>0.008740933606</v>
      </c>
      <c r="Q394" s="5"/>
    </row>
    <row r="395">
      <c r="A395" s="4">
        <f>IFERROR(__xludf.DUMMYFUNCTION("""COMPUTED_VALUE"""),44852.66666666667)</f>
        <v>44852.66667</v>
      </c>
      <c r="B395" s="1">
        <f>IFERROR(__xludf.DUMMYFUNCTION("""COMPUTED_VALUE"""),143.75)</f>
        <v>143.75</v>
      </c>
      <c r="C395" s="4">
        <f>IFERROR(__xludf.DUMMYFUNCTION("""COMPUTED_VALUE"""),44852.66666666667)</f>
        <v>44852.66667</v>
      </c>
      <c r="D395" s="1">
        <f>IFERROR(__xludf.DUMMYFUNCTION("""COMPUTED_VALUE"""),238.5)</f>
        <v>238.5</v>
      </c>
      <c r="E395" s="4">
        <f>IFERROR(__xludf.DUMMYFUNCTION("""COMPUTED_VALUE"""),44852.66666666667)</f>
        <v>44852.66667</v>
      </c>
      <c r="F395" s="1">
        <f>IFERROR(__xludf.DUMMYFUNCTION("""COMPUTED_VALUE"""),100.8)</f>
        <v>100.8</v>
      </c>
      <c r="G395" s="4">
        <f>IFERROR(__xludf.DUMMYFUNCTION("""COMPUTED_VALUE"""),44852.66666666667)</f>
        <v>44852.66667</v>
      </c>
      <c r="H395" s="1">
        <f>IFERROR(__xludf.DUMMYFUNCTION("""COMPUTED_VALUE"""),162.72)</f>
        <v>162.72</v>
      </c>
      <c r="I395" s="5">
        <f t="shared" si="1"/>
        <v>0.0007652173913</v>
      </c>
      <c r="K395" s="5">
        <f t="shared" si="2"/>
        <v>-0.008469601677</v>
      </c>
      <c r="L395" s="5">
        <f t="shared" si="3"/>
        <v>0.02966269841</v>
      </c>
      <c r="M395" s="5">
        <f t="shared" si="4"/>
        <v>0.03244837758</v>
      </c>
      <c r="Q395" s="5"/>
    </row>
    <row r="396">
      <c r="A396" s="4">
        <f>IFERROR(__xludf.DUMMYFUNCTION("""COMPUTED_VALUE"""),44853.66666666667)</f>
        <v>44853.66667</v>
      </c>
      <c r="B396" s="1">
        <f>IFERROR(__xludf.DUMMYFUNCTION("""COMPUTED_VALUE"""),143.86)</f>
        <v>143.86</v>
      </c>
      <c r="C396" s="4">
        <f>IFERROR(__xludf.DUMMYFUNCTION("""COMPUTED_VALUE"""),44853.66666666667)</f>
        <v>44853.66667</v>
      </c>
      <c r="D396" s="1">
        <f>IFERROR(__xludf.DUMMYFUNCTION("""COMPUTED_VALUE"""),236.48)</f>
        <v>236.48</v>
      </c>
      <c r="E396" s="4">
        <f>IFERROR(__xludf.DUMMYFUNCTION("""COMPUTED_VALUE"""),44853.66666666667)</f>
        <v>44853.66667</v>
      </c>
      <c r="F396" s="1">
        <f>IFERROR(__xludf.DUMMYFUNCTION("""COMPUTED_VALUE"""),103.79)</f>
        <v>103.79</v>
      </c>
      <c r="G396" s="4">
        <f>IFERROR(__xludf.DUMMYFUNCTION("""COMPUTED_VALUE"""),44853.66666666667)</f>
        <v>44853.66667</v>
      </c>
      <c r="H396" s="1">
        <f>IFERROR(__xludf.DUMMYFUNCTION("""COMPUTED_VALUE"""),168.0)</f>
        <v>168</v>
      </c>
      <c r="I396" s="5">
        <f t="shared" si="1"/>
        <v>-0.003267065202</v>
      </c>
      <c r="K396" s="5">
        <f t="shared" si="2"/>
        <v>-0.001395466847</v>
      </c>
      <c r="L396" s="5">
        <f t="shared" si="3"/>
        <v>0.001348877541</v>
      </c>
      <c r="M396" s="5">
        <f t="shared" si="4"/>
        <v>0.005714285714</v>
      </c>
      <c r="Q396" s="5"/>
    </row>
    <row r="397">
      <c r="A397" s="4">
        <f>IFERROR(__xludf.DUMMYFUNCTION("""COMPUTED_VALUE"""),44854.66666666667)</f>
        <v>44854.66667</v>
      </c>
      <c r="B397" s="1">
        <f>IFERROR(__xludf.DUMMYFUNCTION("""COMPUTED_VALUE"""),143.39)</f>
        <v>143.39</v>
      </c>
      <c r="C397" s="4">
        <f>IFERROR(__xludf.DUMMYFUNCTION("""COMPUTED_VALUE"""),44854.66666666667)</f>
        <v>44854.66667</v>
      </c>
      <c r="D397" s="1">
        <f>IFERROR(__xludf.DUMMYFUNCTION("""COMPUTED_VALUE"""),236.15)</f>
        <v>236.15</v>
      </c>
      <c r="E397" s="4">
        <f>IFERROR(__xludf.DUMMYFUNCTION("""COMPUTED_VALUE"""),44854.66666666667)</f>
        <v>44854.66667</v>
      </c>
      <c r="F397" s="1">
        <f>IFERROR(__xludf.DUMMYFUNCTION("""COMPUTED_VALUE"""),103.93)</f>
        <v>103.93</v>
      </c>
      <c r="G397" s="4">
        <f>IFERROR(__xludf.DUMMYFUNCTION("""COMPUTED_VALUE"""),44854.66666666667)</f>
        <v>44854.66667</v>
      </c>
      <c r="H397" s="1">
        <f>IFERROR(__xludf.DUMMYFUNCTION("""COMPUTED_VALUE"""),168.96)</f>
        <v>168.96</v>
      </c>
      <c r="I397" s="5">
        <f t="shared" si="1"/>
        <v>0.02705906967</v>
      </c>
      <c r="K397" s="5">
        <f t="shared" si="2"/>
        <v>0.02528054203</v>
      </c>
      <c r="L397" s="5">
        <f t="shared" si="3"/>
        <v>0.01857019148</v>
      </c>
      <c r="M397" s="5">
        <f t="shared" si="4"/>
        <v>0.02503551136</v>
      </c>
      <c r="Q397" s="5"/>
    </row>
    <row r="398">
      <c r="A398" s="4">
        <f>IFERROR(__xludf.DUMMYFUNCTION("""COMPUTED_VALUE"""),44855.66666666667)</f>
        <v>44855.66667</v>
      </c>
      <c r="B398" s="1">
        <f>IFERROR(__xludf.DUMMYFUNCTION("""COMPUTED_VALUE"""),147.27)</f>
        <v>147.27</v>
      </c>
      <c r="C398" s="4">
        <f>IFERROR(__xludf.DUMMYFUNCTION("""COMPUTED_VALUE"""),44855.66666666667)</f>
        <v>44855.66667</v>
      </c>
      <c r="D398" s="1">
        <f>IFERROR(__xludf.DUMMYFUNCTION("""COMPUTED_VALUE"""),242.12)</f>
        <v>242.12</v>
      </c>
      <c r="E398" s="4">
        <f>IFERROR(__xludf.DUMMYFUNCTION("""COMPUTED_VALUE"""),44855.66666666667)</f>
        <v>44855.66667</v>
      </c>
      <c r="F398" s="1">
        <f>IFERROR(__xludf.DUMMYFUNCTION("""COMPUTED_VALUE"""),105.86)</f>
        <v>105.86</v>
      </c>
      <c r="G398" s="4">
        <f>IFERROR(__xludf.DUMMYFUNCTION("""COMPUTED_VALUE"""),44855.66666666667)</f>
        <v>44855.66667</v>
      </c>
      <c r="H398" s="1">
        <f>IFERROR(__xludf.DUMMYFUNCTION("""COMPUTED_VALUE"""),173.19)</f>
        <v>173.19</v>
      </c>
      <c r="I398" s="5">
        <f t="shared" si="1"/>
        <v>0.01480274326</v>
      </c>
      <c r="K398" s="5">
        <f t="shared" si="2"/>
        <v>0.02118784074</v>
      </c>
      <c r="L398" s="5">
        <f t="shared" si="3"/>
        <v>0.006990364633</v>
      </c>
      <c r="M398" s="5">
        <f t="shared" si="4"/>
        <v>-0.0003464403257</v>
      </c>
      <c r="Q398" s="5"/>
    </row>
    <row r="399">
      <c r="A399" s="4">
        <f>IFERROR(__xludf.DUMMYFUNCTION("""COMPUTED_VALUE"""),44858.66666666667)</f>
        <v>44858.66667</v>
      </c>
      <c r="B399" s="1">
        <f>IFERROR(__xludf.DUMMYFUNCTION("""COMPUTED_VALUE"""),149.45)</f>
        <v>149.45</v>
      </c>
      <c r="C399" s="4">
        <f>IFERROR(__xludf.DUMMYFUNCTION("""COMPUTED_VALUE"""),44858.66666666667)</f>
        <v>44858.66667</v>
      </c>
      <c r="D399" s="1">
        <f>IFERROR(__xludf.DUMMYFUNCTION("""COMPUTED_VALUE"""),247.25)</f>
        <v>247.25</v>
      </c>
      <c r="E399" s="4">
        <f>IFERROR(__xludf.DUMMYFUNCTION("""COMPUTED_VALUE"""),44858.66666666667)</f>
        <v>44858.66667</v>
      </c>
      <c r="F399" s="1">
        <f>IFERROR(__xludf.DUMMYFUNCTION("""COMPUTED_VALUE"""),106.6)</f>
        <v>106.6</v>
      </c>
      <c r="G399" s="4">
        <f>IFERROR(__xludf.DUMMYFUNCTION("""COMPUTED_VALUE"""),44858.66666666667)</f>
        <v>44858.66667</v>
      </c>
      <c r="H399" s="1">
        <f>IFERROR(__xludf.DUMMYFUNCTION("""COMPUTED_VALUE"""),173.13)</f>
        <v>173.13</v>
      </c>
      <c r="I399" s="5">
        <f t="shared" si="1"/>
        <v>0.01933757109</v>
      </c>
      <c r="K399" s="5">
        <f t="shared" si="2"/>
        <v>0.0137917088</v>
      </c>
      <c r="L399" s="5">
        <f t="shared" si="3"/>
        <v>-0.006754221388</v>
      </c>
      <c r="M399" s="5">
        <f t="shared" si="4"/>
        <v>0.01039681164</v>
      </c>
      <c r="Q399" s="5"/>
    </row>
    <row r="400">
      <c r="A400" s="4">
        <f>IFERROR(__xludf.DUMMYFUNCTION("""COMPUTED_VALUE"""),44859.66666666667)</f>
        <v>44859.66667</v>
      </c>
      <c r="B400" s="1">
        <f>IFERROR(__xludf.DUMMYFUNCTION("""COMPUTED_VALUE"""),152.34)</f>
        <v>152.34</v>
      </c>
      <c r="C400" s="4">
        <f>IFERROR(__xludf.DUMMYFUNCTION("""COMPUTED_VALUE"""),44859.66666666667)</f>
        <v>44859.66667</v>
      </c>
      <c r="D400" s="1">
        <f>IFERROR(__xludf.DUMMYFUNCTION("""COMPUTED_VALUE"""),250.66)</f>
        <v>250.66</v>
      </c>
      <c r="E400" s="4">
        <f>IFERROR(__xludf.DUMMYFUNCTION("""COMPUTED_VALUE"""),44859.66666666667)</f>
        <v>44859.66667</v>
      </c>
      <c r="F400" s="1">
        <f>IFERROR(__xludf.DUMMYFUNCTION("""COMPUTED_VALUE"""),105.88)</f>
        <v>105.88</v>
      </c>
      <c r="G400" s="4">
        <f>IFERROR(__xludf.DUMMYFUNCTION("""COMPUTED_VALUE"""),44859.66666666667)</f>
        <v>44859.66667</v>
      </c>
      <c r="H400" s="1">
        <f>IFERROR(__xludf.DUMMYFUNCTION("""COMPUTED_VALUE"""),174.93)</f>
        <v>174.93</v>
      </c>
      <c r="I400" s="5">
        <f t="shared" si="1"/>
        <v>-0.0196271498</v>
      </c>
      <c r="K400" s="5">
        <f t="shared" si="2"/>
        <v>-0.07715630735</v>
      </c>
      <c r="L400" s="5">
        <f t="shared" si="3"/>
        <v>0.01190026445</v>
      </c>
      <c r="M400" s="5">
        <f t="shared" si="4"/>
        <v>0.01234779626</v>
      </c>
      <c r="Q400" s="5"/>
    </row>
    <row r="401">
      <c r="A401" s="4">
        <f>IFERROR(__xludf.DUMMYFUNCTION("""COMPUTED_VALUE"""),44860.66666666667)</f>
        <v>44860.66667</v>
      </c>
      <c r="B401" s="1">
        <f>IFERROR(__xludf.DUMMYFUNCTION("""COMPUTED_VALUE"""),149.35)</f>
        <v>149.35</v>
      </c>
      <c r="C401" s="4">
        <f>IFERROR(__xludf.DUMMYFUNCTION("""COMPUTED_VALUE"""),44860.66666666667)</f>
        <v>44860.66667</v>
      </c>
      <c r="D401" s="1">
        <f>IFERROR(__xludf.DUMMYFUNCTION("""COMPUTED_VALUE"""),231.32)</f>
        <v>231.32</v>
      </c>
      <c r="E401" s="4">
        <f>IFERROR(__xludf.DUMMYFUNCTION("""COMPUTED_VALUE"""),44860.66666666667)</f>
        <v>44860.66667</v>
      </c>
      <c r="F401" s="1">
        <f>IFERROR(__xludf.DUMMYFUNCTION("""COMPUTED_VALUE"""),107.14)</f>
        <v>107.14</v>
      </c>
      <c r="G401" s="4">
        <f>IFERROR(__xludf.DUMMYFUNCTION("""COMPUTED_VALUE"""),44860.66666666667)</f>
        <v>44860.66667</v>
      </c>
      <c r="H401" s="1">
        <f>IFERROR(__xludf.DUMMYFUNCTION("""COMPUTED_VALUE"""),177.09)</f>
        <v>177.09</v>
      </c>
      <c r="I401" s="5">
        <f t="shared" si="1"/>
        <v>-0.03046534985</v>
      </c>
      <c r="K401" s="5">
        <f t="shared" si="2"/>
        <v>-0.01975618191</v>
      </c>
      <c r="L401" s="5">
        <f t="shared" si="3"/>
        <v>0.003826768714</v>
      </c>
      <c r="M401" s="5">
        <f t="shared" si="4"/>
        <v>0.004573945451</v>
      </c>
      <c r="Q401" s="5"/>
    </row>
    <row r="402">
      <c r="A402" s="4">
        <f>IFERROR(__xludf.DUMMYFUNCTION("""COMPUTED_VALUE"""),44861.66666666667)</f>
        <v>44861.66667</v>
      </c>
      <c r="B402" s="1">
        <f>IFERROR(__xludf.DUMMYFUNCTION("""COMPUTED_VALUE"""),144.8)</f>
        <v>144.8</v>
      </c>
      <c r="C402" s="4">
        <f>IFERROR(__xludf.DUMMYFUNCTION("""COMPUTED_VALUE"""),44861.66666666667)</f>
        <v>44861.66667</v>
      </c>
      <c r="D402" s="1">
        <f>IFERROR(__xludf.DUMMYFUNCTION("""COMPUTED_VALUE"""),226.75)</f>
        <v>226.75</v>
      </c>
      <c r="E402" s="4">
        <f>IFERROR(__xludf.DUMMYFUNCTION("""COMPUTED_VALUE"""),44861.66666666667)</f>
        <v>44861.66667</v>
      </c>
      <c r="F402" s="1">
        <f>IFERROR(__xludf.DUMMYFUNCTION("""COMPUTED_VALUE"""),107.55)</f>
        <v>107.55</v>
      </c>
      <c r="G402" s="4">
        <f>IFERROR(__xludf.DUMMYFUNCTION("""COMPUTED_VALUE"""),44861.66666666667)</f>
        <v>44861.66667</v>
      </c>
      <c r="H402" s="1">
        <f>IFERROR(__xludf.DUMMYFUNCTION("""COMPUTED_VALUE"""),177.9)</f>
        <v>177.9</v>
      </c>
      <c r="I402" s="5">
        <f t="shared" si="1"/>
        <v>0.07555248619</v>
      </c>
      <c r="K402" s="5">
        <f t="shared" si="2"/>
        <v>0.04022050717</v>
      </c>
      <c r="L402" s="5">
        <f t="shared" si="3"/>
        <v>0.02928870293</v>
      </c>
      <c r="M402" s="5">
        <f t="shared" si="4"/>
        <v>0.01169196178</v>
      </c>
      <c r="Q402" s="5"/>
    </row>
    <row r="403">
      <c r="A403" s="4">
        <f>IFERROR(__xludf.DUMMYFUNCTION("""COMPUTED_VALUE"""),44862.66666666667)</f>
        <v>44862.66667</v>
      </c>
      <c r="B403" s="1">
        <f>IFERROR(__xludf.DUMMYFUNCTION("""COMPUTED_VALUE"""),155.74)</f>
        <v>155.74</v>
      </c>
      <c r="C403" s="4">
        <f>IFERROR(__xludf.DUMMYFUNCTION("""COMPUTED_VALUE"""),44862.66666666667)</f>
        <v>44862.66667</v>
      </c>
      <c r="D403" s="1">
        <f>IFERROR(__xludf.DUMMYFUNCTION("""COMPUTED_VALUE"""),235.87)</f>
        <v>235.87</v>
      </c>
      <c r="E403" s="4">
        <f>IFERROR(__xludf.DUMMYFUNCTION("""COMPUTED_VALUE"""),44862.66666666667)</f>
        <v>44862.66667</v>
      </c>
      <c r="F403" s="1">
        <f>IFERROR(__xludf.DUMMYFUNCTION("""COMPUTED_VALUE"""),110.7)</f>
        <v>110.7</v>
      </c>
      <c r="G403" s="4">
        <f>IFERROR(__xludf.DUMMYFUNCTION("""COMPUTED_VALUE"""),44862.66666666667)</f>
        <v>44862.66667</v>
      </c>
      <c r="H403" s="1">
        <f>IFERROR(__xludf.DUMMYFUNCTION("""COMPUTED_VALUE"""),179.98)</f>
        <v>179.98</v>
      </c>
      <c r="I403" s="5">
        <f t="shared" si="1"/>
        <v>-0.01541029922</v>
      </c>
      <c r="K403" s="5">
        <f t="shared" si="2"/>
        <v>-0.01585619197</v>
      </c>
      <c r="L403" s="5">
        <f t="shared" si="3"/>
        <v>0.0009936766034</v>
      </c>
      <c r="M403" s="5">
        <f t="shared" si="4"/>
        <v>0.005111679075</v>
      </c>
      <c r="Q403" s="5"/>
    </row>
    <row r="404">
      <c r="A404" s="4">
        <f>IFERROR(__xludf.DUMMYFUNCTION("""COMPUTED_VALUE"""),44865.66666666667)</f>
        <v>44865.66667</v>
      </c>
      <c r="B404" s="1">
        <f>IFERROR(__xludf.DUMMYFUNCTION("""COMPUTED_VALUE"""),153.34)</f>
        <v>153.34</v>
      </c>
      <c r="C404" s="4">
        <f>IFERROR(__xludf.DUMMYFUNCTION("""COMPUTED_VALUE"""),44865.66666666667)</f>
        <v>44865.66667</v>
      </c>
      <c r="D404" s="1">
        <f>IFERROR(__xludf.DUMMYFUNCTION("""COMPUTED_VALUE"""),232.13)</f>
        <v>232.13</v>
      </c>
      <c r="E404" s="4">
        <f>IFERROR(__xludf.DUMMYFUNCTION("""COMPUTED_VALUE"""),44865.66666666667)</f>
        <v>44865.66667</v>
      </c>
      <c r="F404" s="1">
        <f>IFERROR(__xludf.DUMMYFUNCTION("""COMPUTED_VALUE"""),110.81)</f>
        <v>110.81</v>
      </c>
      <c r="G404" s="4">
        <f>IFERROR(__xludf.DUMMYFUNCTION("""COMPUTED_VALUE"""),44865.66666666667)</f>
        <v>44865.66667</v>
      </c>
      <c r="H404" s="1">
        <f>IFERROR(__xludf.DUMMYFUNCTION("""COMPUTED_VALUE"""),180.9)</f>
        <v>180.9</v>
      </c>
      <c r="I404" s="5">
        <f t="shared" si="1"/>
        <v>-0.01754271553</v>
      </c>
      <c r="K404" s="5">
        <f t="shared" si="2"/>
        <v>-0.01705940637</v>
      </c>
      <c r="L404" s="5">
        <f t="shared" si="3"/>
        <v>0.009926901904</v>
      </c>
      <c r="M404" s="5">
        <f t="shared" si="4"/>
        <v>0.007296849088</v>
      </c>
      <c r="Q404" s="5"/>
    </row>
    <row r="405">
      <c r="A405" s="4">
        <f>IFERROR(__xludf.DUMMYFUNCTION("""COMPUTED_VALUE"""),44866.66666666667)</f>
        <v>44866.66667</v>
      </c>
      <c r="B405" s="1">
        <f>IFERROR(__xludf.DUMMYFUNCTION("""COMPUTED_VALUE"""),150.65)</f>
        <v>150.65</v>
      </c>
      <c r="C405" s="4">
        <f>IFERROR(__xludf.DUMMYFUNCTION("""COMPUTED_VALUE"""),44866.66666666667)</f>
        <v>44866.66667</v>
      </c>
      <c r="D405" s="1">
        <f>IFERROR(__xludf.DUMMYFUNCTION("""COMPUTED_VALUE"""),228.17)</f>
        <v>228.17</v>
      </c>
      <c r="E405" s="4">
        <f>IFERROR(__xludf.DUMMYFUNCTION("""COMPUTED_VALUE"""),44866.66666666667)</f>
        <v>44866.66667</v>
      </c>
      <c r="F405" s="1">
        <f>IFERROR(__xludf.DUMMYFUNCTION("""COMPUTED_VALUE"""),111.91)</f>
        <v>111.91</v>
      </c>
      <c r="G405" s="4">
        <f>IFERROR(__xludf.DUMMYFUNCTION("""COMPUTED_VALUE"""),44866.66666666667)</f>
        <v>44866.66667</v>
      </c>
      <c r="H405" s="1">
        <f>IFERROR(__xludf.DUMMYFUNCTION("""COMPUTED_VALUE"""),182.22)</f>
        <v>182.22</v>
      </c>
      <c r="I405" s="5">
        <f t="shared" si="1"/>
        <v>-0.03730501162</v>
      </c>
      <c r="K405" s="5">
        <f t="shared" si="2"/>
        <v>-0.03536836569</v>
      </c>
      <c r="L405" s="5">
        <f t="shared" si="3"/>
        <v>-0.02055222947</v>
      </c>
      <c r="M405" s="5">
        <f t="shared" si="4"/>
        <v>-0.02041488311</v>
      </c>
      <c r="Q405" s="5"/>
    </row>
    <row r="406">
      <c r="A406" s="4">
        <f>IFERROR(__xludf.DUMMYFUNCTION("""COMPUTED_VALUE"""),44867.66666666667)</f>
        <v>44867.66667</v>
      </c>
      <c r="B406" s="1">
        <f>IFERROR(__xludf.DUMMYFUNCTION("""COMPUTED_VALUE"""),145.03)</f>
        <v>145.03</v>
      </c>
      <c r="C406" s="4">
        <f>IFERROR(__xludf.DUMMYFUNCTION("""COMPUTED_VALUE"""),44867.66666666667)</f>
        <v>44867.66667</v>
      </c>
      <c r="D406" s="1">
        <f>IFERROR(__xludf.DUMMYFUNCTION("""COMPUTED_VALUE"""),220.1)</f>
        <v>220.1</v>
      </c>
      <c r="E406" s="4">
        <f>IFERROR(__xludf.DUMMYFUNCTION("""COMPUTED_VALUE"""),44867.66666666667)</f>
        <v>44867.66667</v>
      </c>
      <c r="F406" s="1">
        <f>IFERROR(__xludf.DUMMYFUNCTION("""COMPUTED_VALUE"""),109.61)</f>
        <v>109.61</v>
      </c>
      <c r="G406" s="4">
        <f>IFERROR(__xludf.DUMMYFUNCTION("""COMPUTED_VALUE"""),44867.66666666667)</f>
        <v>44867.66667</v>
      </c>
      <c r="H406" s="1">
        <f>IFERROR(__xludf.DUMMYFUNCTION("""COMPUTED_VALUE"""),178.5)</f>
        <v>178.5</v>
      </c>
      <c r="I406" s="5">
        <f t="shared" si="1"/>
        <v>-0.04240501965</v>
      </c>
      <c r="K406" s="5">
        <f t="shared" si="2"/>
        <v>-0.02657882781</v>
      </c>
      <c r="L406" s="5">
        <f t="shared" si="3"/>
        <v>0.01359365021</v>
      </c>
      <c r="M406" s="5">
        <f t="shared" si="4"/>
        <v>0.01473389356</v>
      </c>
      <c r="Q406" s="5"/>
    </row>
    <row r="407">
      <c r="A407" s="4">
        <f>IFERROR(__xludf.DUMMYFUNCTION("""COMPUTED_VALUE"""),44868.66666666667)</f>
        <v>44868.66667</v>
      </c>
      <c r="B407" s="1">
        <f>IFERROR(__xludf.DUMMYFUNCTION("""COMPUTED_VALUE"""),138.88)</f>
        <v>138.88</v>
      </c>
      <c r="C407" s="4">
        <f>IFERROR(__xludf.DUMMYFUNCTION("""COMPUTED_VALUE"""),44868.66666666667)</f>
        <v>44868.66667</v>
      </c>
      <c r="D407" s="1">
        <f>IFERROR(__xludf.DUMMYFUNCTION("""COMPUTED_VALUE"""),214.25)</f>
        <v>214.25</v>
      </c>
      <c r="E407" s="4">
        <f>IFERROR(__xludf.DUMMYFUNCTION("""COMPUTED_VALUE"""),44868.66666666667)</f>
        <v>44868.66667</v>
      </c>
      <c r="F407" s="1">
        <f>IFERROR(__xludf.DUMMYFUNCTION("""COMPUTED_VALUE"""),111.1)</f>
        <v>111.1</v>
      </c>
      <c r="G407" s="4">
        <f>IFERROR(__xludf.DUMMYFUNCTION("""COMPUTED_VALUE"""),44868.66666666667)</f>
        <v>44868.66667</v>
      </c>
      <c r="H407" s="1">
        <f>IFERROR(__xludf.DUMMYFUNCTION("""COMPUTED_VALUE"""),181.13)</f>
        <v>181.13</v>
      </c>
      <c r="I407" s="5">
        <f t="shared" si="1"/>
        <v>-0.003600230415</v>
      </c>
      <c r="K407" s="5">
        <f t="shared" si="2"/>
        <v>0.03332555426</v>
      </c>
      <c r="L407" s="5">
        <f t="shared" si="3"/>
        <v>0.01089108911</v>
      </c>
      <c r="M407" s="5">
        <f t="shared" si="4"/>
        <v>0.0126428532</v>
      </c>
      <c r="Q407" s="5"/>
    </row>
    <row r="408">
      <c r="A408" s="4">
        <f>IFERROR(__xludf.DUMMYFUNCTION("""COMPUTED_VALUE"""),44869.66666666667)</f>
        <v>44869.66667</v>
      </c>
      <c r="B408" s="1">
        <f>IFERROR(__xludf.DUMMYFUNCTION("""COMPUTED_VALUE"""),138.38)</f>
        <v>138.38</v>
      </c>
      <c r="C408" s="4">
        <f>IFERROR(__xludf.DUMMYFUNCTION("""COMPUTED_VALUE"""),44869.66666666667)</f>
        <v>44869.66667</v>
      </c>
      <c r="D408" s="1">
        <f>IFERROR(__xludf.DUMMYFUNCTION("""COMPUTED_VALUE"""),221.39)</f>
        <v>221.39</v>
      </c>
      <c r="E408" s="4">
        <f>IFERROR(__xludf.DUMMYFUNCTION("""COMPUTED_VALUE"""),44869.66666666667)</f>
        <v>44869.66667</v>
      </c>
      <c r="F408" s="1">
        <f>IFERROR(__xludf.DUMMYFUNCTION("""COMPUTED_VALUE"""),112.31)</f>
        <v>112.31</v>
      </c>
      <c r="G408" s="4">
        <f>IFERROR(__xludf.DUMMYFUNCTION("""COMPUTED_VALUE"""),44869.66666666667)</f>
        <v>44869.66667</v>
      </c>
      <c r="H408" s="1">
        <f>IFERROR(__xludf.DUMMYFUNCTION("""COMPUTED_VALUE"""),183.42)</f>
        <v>183.42</v>
      </c>
      <c r="I408" s="5">
        <f t="shared" si="1"/>
        <v>0.00390229802</v>
      </c>
      <c r="K408" s="5">
        <f t="shared" si="2"/>
        <v>0.02926961471</v>
      </c>
      <c r="L408" s="5">
        <f t="shared" si="3"/>
        <v>0.01184222242</v>
      </c>
      <c r="M408" s="5">
        <f t="shared" si="4"/>
        <v>0.01193981027</v>
      </c>
      <c r="Q408" s="5"/>
    </row>
    <row r="409">
      <c r="A409" s="4">
        <f>IFERROR(__xludf.DUMMYFUNCTION("""COMPUTED_VALUE"""),44872.66666666667)</f>
        <v>44872.66667</v>
      </c>
      <c r="B409" s="1">
        <f>IFERROR(__xludf.DUMMYFUNCTION("""COMPUTED_VALUE"""),138.92)</f>
        <v>138.92</v>
      </c>
      <c r="C409" s="4">
        <f>IFERROR(__xludf.DUMMYFUNCTION("""COMPUTED_VALUE"""),44872.66666666667)</f>
        <v>44872.66667</v>
      </c>
      <c r="D409" s="1">
        <f>IFERROR(__xludf.DUMMYFUNCTION("""COMPUTED_VALUE"""),227.87)</f>
        <v>227.87</v>
      </c>
      <c r="E409" s="4">
        <f>IFERROR(__xludf.DUMMYFUNCTION("""COMPUTED_VALUE"""),44872.66666666667)</f>
        <v>44872.66667</v>
      </c>
      <c r="F409" s="1">
        <f>IFERROR(__xludf.DUMMYFUNCTION("""COMPUTED_VALUE"""),113.64)</f>
        <v>113.64</v>
      </c>
      <c r="G409" s="4">
        <f>IFERROR(__xludf.DUMMYFUNCTION("""COMPUTED_VALUE"""),44872.66666666667)</f>
        <v>44872.66667</v>
      </c>
      <c r="H409" s="1">
        <f>IFERROR(__xludf.DUMMYFUNCTION("""COMPUTED_VALUE"""),185.61)</f>
        <v>185.61</v>
      </c>
      <c r="I409" s="5">
        <f t="shared" si="1"/>
        <v>0.004175064785</v>
      </c>
      <c r="K409" s="5">
        <f t="shared" si="2"/>
        <v>0.004388467108</v>
      </c>
      <c r="L409" s="5">
        <f t="shared" si="3"/>
        <v>0.003167898627</v>
      </c>
      <c r="M409" s="5">
        <f t="shared" si="4"/>
        <v>-0.001454663003</v>
      </c>
      <c r="Q409" s="5"/>
    </row>
    <row r="410">
      <c r="A410" s="4">
        <f>IFERROR(__xludf.DUMMYFUNCTION("""COMPUTED_VALUE"""),44873.66666666667)</f>
        <v>44873.66667</v>
      </c>
      <c r="B410" s="1">
        <f>IFERROR(__xludf.DUMMYFUNCTION("""COMPUTED_VALUE"""),139.5)</f>
        <v>139.5</v>
      </c>
      <c r="C410" s="4">
        <f>IFERROR(__xludf.DUMMYFUNCTION("""COMPUTED_VALUE"""),44873.66666666667)</f>
        <v>44873.66667</v>
      </c>
      <c r="D410" s="1">
        <f>IFERROR(__xludf.DUMMYFUNCTION("""COMPUTED_VALUE"""),228.87)</f>
        <v>228.87</v>
      </c>
      <c r="E410" s="4">
        <f>IFERROR(__xludf.DUMMYFUNCTION("""COMPUTED_VALUE"""),44873.66666666667)</f>
        <v>44873.66667</v>
      </c>
      <c r="F410" s="1">
        <f>IFERROR(__xludf.DUMMYFUNCTION("""COMPUTED_VALUE"""),114.0)</f>
        <v>114</v>
      </c>
      <c r="G410" s="4">
        <f>IFERROR(__xludf.DUMMYFUNCTION("""COMPUTED_VALUE"""),44873.66666666667)</f>
        <v>44873.66667</v>
      </c>
      <c r="H410" s="1">
        <f>IFERROR(__xludf.DUMMYFUNCTION("""COMPUTED_VALUE"""),185.34)</f>
        <v>185.34</v>
      </c>
      <c r="I410" s="5">
        <f t="shared" si="1"/>
        <v>-0.03318996416</v>
      </c>
      <c r="K410" s="5">
        <f t="shared" si="2"/>
        <v>-0.01905011579</v>
      </c>
      <c r="L410" s="5">
        <f t="shared" si="3"/>
        <v>-0.04473684211</v>
      </c>
      <c r="M410" s="5">
        <f t="shared" si="4"/>
        <v>-0.03998057624</v>
      </c>
      <c r="Q410" s="5"/>
    </row>
    <row r="411">
      <c r="A411" s="4">
        <f>IFERROR(__xludf.DUMMYFUNCTION("""COMPUTED_VALUE"""),44874.66666666667)</f>
        <v>44874.66667</v>
      </c>
      <c r="B411" s="1">
        <f>IFERROR(__xludf.DUMMYFUNCTION("""COMPUTED_VALUE"""),134.87)</f>
        <v>134.87</v>
      </c>
      <c r="C411" s="4">
        <f>IFERROR(__xludf.DUMMYFUNCTION("""COMPUTED_VALUE"""),44874.66666666667)</f>
        <v>44874.66667</v>
      </c>
      <c r="D411" s="1">
        <f>IFERROR(__xludf.DUMMYFUNCTION("""COMPUTED_VALUE"""),224.51)</f>
        <v>224.51</v>
      </c>
      <c r="E411" s="4">
        <f>IFERROR(__xludf.DUMMYFUNCTION("""COMPUTED_VALUE"""),44874.66666666667)</f>
        <v>44874.66667</v>
      </c>
      <c r="F411" s="1">
        <f>IFERROR(__xludf.DUMMYFUNCTION("""COMPUTED_VALUE"""),108.9)</f>
        <v>108.9</v>
      </c>
      <c r="G411" s="4">
        <f>IFERROR(__xludf.DUMMYFUNCTION("""COMPUTED_VALUE"""),44874.66666666667)</f>
        <v>44874.66667</v>
      </c>
      <c r="H411" s="1">
        <f>IFERROR(__xludf.DUMMYFUNCTION("""COMPUTED_VALUE"""),177.93)</f>
        <v>177.93</v>
      </c>
      <c r="I411" s="5">
        <f t="shared" si="1"/>
        <v>0.0889745681</v>
      </c>
      <c r="K411" s="5">
        <f t="shared" si="2"/>
        <v>0.08226805042</v>
      </c>
      <c r="L411" s="5">
        <f t="shared" si="3"/>
        <v>0.01469237833</v>
      </c>
      <c r="M411" s="5">
        <f t="shared" si="4"/>
        <v>0.0189400326</v>
      </c>
      <c r="Q411" s="5"/>
    </row>
    <row r="412">
      <c r="A412" s="4">
        <f>IFERROR(__xludf.DUMMYFUNCTION("""COMPUTED_VALUE"""),44875.66666666667)</f>
        <v>44875.66667</v>
      </c>
      <c r="B412" s="1">
        <f>IFERROR(__xludf.DUMMYFUNCTION("""COMPUTED_VALUE"""),146.87)</f>
        <v>146.87</v>
      </c>
      <c r="C412" s="4">
        <f>IFERROR(__xludf.DUMMYFUNCTION("""COMPUTED_VALUE"""),44875.66666666667)</f>
        <v>44875.66667</v>
      </c>
      <c r="D412" s="1">
        <f>IFERROR(__xludf.DUMMYFUNCTION("""COMPUTED_VALUE"""),242.98)</f>
        <v>242.98</v>
      </c>
      <c r="E412" s="4">
        <f>IFERROR(__xludf.DUMMYFUNCTION("""COMPUTED_VALUE"""),44875.66666666667)</f>
        <v>44875.66667</v>
      </c>
      <c r="F412" s="1">
        <f>IFERROR(__xludf.DUMMYFUNCTION("""COMPUTED_VALUE"""),110.5)</f>
        <v>110.5</v>
      </c>
      <c r="G412" s="4">
        <f>IFERROR(__xludf.DUMMYFUNCTION("""COMPUTED_VALUE"""),44875.66666666667)</f>
        <v>44875.66667</v>
      </c>
      <c r="H412" s="1">
        <f>IFERROR(__xludf.DUMMYFUNCTION("""COMPUTED_VALUE"""),181.3)</f>
        <v>181.3</v>
      </c>
      <c r="I412" s="5">
        <f t="shared" si="1"/>
        <v>0.01926874106</v>
      </c>
      <c r="K412" s="5">
        <f t="shared" si="2"/>
        <v>0.01699728373</v>
      </c>
      <c r="L412" s="5">
        <f t="shared" si="3"/>
        <v>0.03122171946</v>
      </c>
      <c r="M412" s="5">
        <f t="shared" si="4"/>
        <v>0.02846111418</v>
      </c>
      <c r="Q412" s="5"/>
    </row>
    <row r="413">
      <c r="A413" s="4">
        <f>IFERROR(__xludf.DUMMYFUNCTION("""COMPUTED_VALUE"""),44876.66666666667)</f>
        <v>44876.66667</v>
      </c>
      <c r="B413" s="1">
        <f>IFERROR(__xludf.DUMMYFUNCTION("""COMPUTED_VALUE"""),149.7)</f>
        <v>149.7</v>
      </c>
      <c r="C413" s="4">
        <f>IFERROR(__xludf.DUMMYFUNCTION("""COMPUTED_VALUE"""),44876.66666666667)</f>
        <v>44876.66667</v>
      </c>
      <c r="D413" s="1">
        <f>IFERROR(__xludf.DUMMYFUNCTION("""COMPUTED_VALUE"""),247.11)</f>
        <v>247.11</v>
      </c>
      <c r="E413" s="4">
        <f>IFERROR(__xludf.DUMMYFUNCTION("""COMPUTED_VALUE"""),44876.66666666667)</f>
        <v>44876.66667</v>
      </c>
      <c r="F413" s="1">
        <f>IFERROR(__xludf.DUMMYFUNCTION("""COMPUTED_VALUE"""),113.95)</f>
        <v>113.95</v>
      </c>
      <c r="G413" s="4">
        <f>IFERROR(__xludf.DUMMYFUNCTION("""COMPUTED_VALUE"""),44876.66666666667)</f>
        <v>44876.66667</v>
      </c>
      <c r="H413" s="1">
        <f>IFERROR(__xludf.DUMMYFUNCTION("""COMPUTED_VALUE"""),186.46)</f>
        <v>186.46</v>
      </c>
      <c r="I413" s="5">
        <f t="shared" si="1"/>
        <v>-0.009485637943</v>
      </c>
      <c r="K413" s="5">
        <f t="shared" si="2"/>
        <v>-0.02250010117</v>
      </c>
      <c r="L413" s="5">
        <f t="shared" si="3"/>
        <v>-0.005089951733</v>
      </c>
      <c r="M413" s="5">
        <f t="shared" si="4"/>
        <v>0.0004826772498</v>
      </c>
      <c r="Q413" s="5"/>
    </row>
    <row r="414">
      <c r="A414" s="4">
        <f>IFERROR(__xludf.DUMMYFUNCTION("""COMPUTED_VALUE"""),44879.66666666667)</f>
        <v>44879.66667</v>
      </c>
      <c r="B414" s="1">
        <f>IFERROR(__xludf.DUMMYFUNCTION("""COMPUTED_VALUE"""),148.28)</f>
        <v>148.28</v>
      </c>
      <c r="C414" s="4">
        <f>IFERROR(__xludf.DUMMYFUNCTION("""COMPUTED_VALUE"""),44879.66666666667)</f>
        <v>44879.66667</v>
      </c>
      <c r="D414" s="1">
        <f>IFERROR(__xludf.DUMMYFUNCTION("""COMPUTED_VALUE"""),241.55)</f>
        <v>241.55</v>
      </c>
      <c r="E414" s="4">
        <f>IFERROR(__xludf.DUMMYFUNCTION("""COMPUTED_VALUE"""),44879.66666666667)</f>
        <v>44879.66667</v>
      </c>
      <c r="F414" s="1">
        <f>IFERROR(__xludf.DUMMYFUNCTION("""COMPUTED_VALUE"""),113.37)</f>
        <v>113.37</v>
      </c>
      <c r="G414" s="4">
        <f>IFERROR(__xludf.DUMMYFUNCTION("""COMPUTED_VALUE"""),44879.66666666667)</f>
        <v>44879.66667</v>
      </c>
      <c r="H414" s="1">
        <f>IFERROR(__xludf.DUMMYFUNCTION("""COMPUTED_VALUE"""),186.55)</f>
        <v>186.55</v>
      </c>
      <c r="I414" s="5">
        <f t="shared" si="1"/>
        <v>0.0118694362</v>
      </c>
      <c r="K414" s="5">
        <f t="shared" si="2"/>
        <v>0.001738770441</v>
      </c>
      <c r="L414" s="5">
        <f t="shared" si="3"/>
        <v>0.006703713504</v>
      </c>
      <c r="M414" s="5">
        <f t="shared" si="4"/>
        <v>0.008040739748</v>
      </c>
      <c r="Q414" s="5"/>
    </row>
    <row r="415">
      <c r="A415" s="4">
        <f>IFERROR(__xludf.DUMMYFUNCTION("""COMPUTED_VALUE"""),44880.66666666667)</f>
        <v>44880.66667</v>
      </c>
      <c r="B415" s="1">
        <f>IFERROR(__xludf.DUMMYFUNCTION("""COMPUTED_VALUE"""),150.04)</f>
        <v>150.04</v>
      </c>
      <c r="C415" s="4">
        <f>IFERROR(__xludf.DUMMYFUNCTION("""COMPUTED_VALUE"""),44880.66666666667)</f>
        <v>44880.66667</v>
      </c>
      <c r="D415" s="1">
        <f>IFERROR(__xludf.DUMMYFUNCTION("""COMPUTED_VALUE"""),241.97)</f>
        <v>241.97</v>
      </c>
      <c r="E415" s="4">
        <f>IFERROR(__xludf.DUMMYFUNCTION("""COMPUTED_VALUE"""),44880.66666666667)</f>
        <v>44880.66667</v>
      </c>
      <c r="F415" s="1">
        <f>IFERROR(__xludf.DUMMYFUNCTION("""COMPUTED_VALUE"""),114.13)</f>
        <v>114.13</v>
      </c>
      <c r="G415" s="4">
        <f>IFERROR(__xludf.DUMMYFUNCTION("""COMPUTED_VALUE"""),44880.66666666667)</f>
        <v>44880.66667</v>
      </c>
      <c r="H415" s="1">
        <f>IFERROR(__xludf.DUMMYFUNCTION("""COMPUTED_VALUE"""),188.05)</f>
        <v>188.05</v>
      </c>
      <c r="I415" s="5">
        <f t="shared" si="1"/>
        <v>-0.008331111704</v>
      </c>
      <c r="K415" s="5">
        <f t="shared" si="2"/>
        <v>-0.0009918584949</v>
      </c>
      <c r="L415" s="5">
        <f t="shared" si="3"/>
        <v>-0.01068956453</v>
      </c>
      <c r="M415" s="5">
        <f t="shared" si="4"/>
        <v>-0.01627226801</v>
      </c>
      <c r="Q415" s="5"/>
    </row>
    <row r="416">
      <c r="A416" s="4">
        <f>IFERROR(__xludf.DUMMYFUNCTION("""COMPUTED_VALUE"""),44881.66666666667)</f>
        <v>44881.66667</v>
      </c>
      <c r="B416" s="1">
        <f>IFERROR(__xludf.DUMMYFUNCTION("""COMPUTED_VALUE"""),148.79)</f>
        <v>148.79</v>
      </c>
      <c r="C416" s="4">
        <f>IFERROR(__xludf.DUMMYFUNCTION("""COMPUTED_VALUE"""),44881.66666666667)</f>
        <v>44881.66667</v>
      </c>
      <c r="D416" s="1">
        <f>IFERROR(__xludf.DUMMYFUNCTION("""COMPUTED_VALUE"""),241.73)</f>
        <v>241.73</v>
      </c>
      <c r="E416" s="4">
        <f>IFERROR(__xludf.DUMMYFUNCTION("""COMPUTED_VALUE"""),44881.66666666667)</f>
        <v>44881.66667</v>
      </c>
      <c r="F416" s="1">
        <f>IFERROR(__xludf.DUMMYFUNCTION("""COMPUTED_VALUE"""),112.91)</f>
        <v>112.91</v>
      </c>
      <c r="G416" s="4">
        <f>IFERROR(__xludf.DUMMYFUNCTION("""COMPUTED_VALUE"""),44881.66666666667)</f>
        <v>44881.66667</v>
      </c>
      <c r="H416" s="1">
        <f>IFERROR(__xludf.DUMMYFUNCTION("""COMPUTED_VALUE"""),184.99)</f>
        <v>184.99</v>
      </c>
      <c r="I416" s="5">
        <f t="shared" si="1"/>
        <v>0.01297130183</v>
      </c>
      <c r="K416" s="5">
        <f t="shared" si="2"/>
        <v>-0.0002068423448</v>
      </c>
      <c r="L416" s="5">
        <f t="shared" si="3"/>
        <v>0.001328491719</v>
      </c>
      <c r="M416" s="5">
        <f t="shared" si="4"/>
        <v>-0.004865127845</v>
      </c>
      <c r="Q416" s="5"/>
    </row>
    <row r="417">
      <c r="A417" s="4">
        <f>IFERROR(__xludf.DUMMYFUNCTION("""COMPUTED_VALUE"""),44882.66666666667)</f>
        <v>44882.66667</v>
      </c>
      <c r="B417" s="1">
        <f>IFERROR(__xludf.DUMMYFUNCTION("""COMPUTED_VALUE"""),150.72)</f>
        <v>150.72</v>
      </c>
      <c r="C417" s="4">
        <f>IFERROR(__xludf.DUMMYFUNCTION("""COMPUTED_VALUE"""),44882.66666666667)</f>
        <v>44882.66667</v>
      </c>
      <c r="D417" s="1">
        <f>IFERROR(__xludf.DUMMYFUNCTION("""COMPUTED_VALUE"""),241.68)</f>
        <v>241.68</v>
      </c>
      <c r="E417" s="4">
        <f>IFERROR(__xludf.DUMMYFUNCTION("""COMPUTED_VALUE"""),44882.66666666667)</f>
        <v>44882.66667</v>
      </c>
      <c r="F417" s="1">
        <f>IFERROR(__xludf.DUMMYFUNCTION("""COMPUTED_VALUE"""),113.06)</f>
        <v>113.06</v>
      </c>
      <c r="G417" s="4">
        <f>IFERROR(__xludf.DUMMYFUNCTION("""COMPUTED_VALUE"""),44882.66666666667)</f>
        <v>44882.66667</v>
      </c>
      <c r="H417" s="1">
        <f>IFERROR(__xludf.DUMMYFUNCTION("""COMPUTED_VALUE"""),184.09)</f>
        <v>184.09</v>
      </c>
      <c r="I417" s="5">
        <f t="shared" si="1"/>
        <v>0.003781847134</v>
      </c>
      <c r="K417" s="5">
        <f t="shared" si="2"/>
        <v>-0.001903343264</v>
      </c>
      <c r="L417" s="5">
        <f t="shared" si="3"/>
        <v>-0.008667963913</v>
      </c>
      <c r="M417" s="5">
        <f t="shared" si="4"/>
        <v>-0.00597533815</v>
      </c>
      <c r="Q417" s="5"/>
    </row>
    <row r="418">
      <c r="A418" s="4">
        <f>IFERROR(__xludf.DUMMYFUNCTION("""COMPUTED_VALUE"""),44883.66666666667)</f>
        <v>44883.66667</v>
      </c>
      <c r="B418" s="1">
        <f>IFERROR(__xludf.DUMMYFUNCTION("""COMPUTED_VALUE"""),151.29)</f>
        <v>151.29</v>
      </c>
      <c r="C418" s="4">
        <f>IFERROR(__xludf.DUMMYFUNCTION("""COMPUTED_VALUE"""),44883.66666666667)</f>
        <v>44883.66667</v>
      </c>
      <c r="D418" s="1">
        <f>IFERROR(__xludf.DUMMYFUNCTION("""COMPUTED_VALUE"""),241.22)</f>
        <v>241.22</v>
      </c>
      <c r="E418" s="4">
        <f>IFERROR(__xludf.DUMMYFUNCTION("""COMPUTED_VALUE"""),44883.66666666667)</f>
        <v>44883.66667</v>
      </c>
      <c r="F418" s="1">
        <f>IFERROR(__xludf.DUMMYFUNCTION("""COMPUTED_VALUE"""),112.08)</f>
        <v>112.08</v>
      </c>
      <c r="G418" s="4">
        <f>IFERROR(__xludf.DUMMYFUNCTION("""COMPUTED_VALUE"""),44883.66666666667)</f>
        <v>44883.66667</v>
      </c>
      <c r="H418" s="1">
        <f>IFERROR(__xludf.DUMMYFUNCTION("""COMPUTED_VALUE"""),182.99)</f>
        <v>182.99</v>
      </c>
      <c r="I418" s="5">
        <f t="shared" si="1"/>
        <v>-0.0216802168</v>
      </c>
      <c r="K418" s="5">
        <f t="shared" si="2"/>
        <v>0.003440842385</v>
      </c>
      <c r="L418" s="5">
        <f t="shared" si="3"/>
        <v>-0.009903640257</v>
      </c>
      <c r="M418" s="5">
        <f t="shared" si="4"/>
        <v>-0.009563364118</v>
      </c>
      <c r="Q418" s="5"/>
    </row>
    <row r="419">
      <c r="A419" s="4">
        <f>IFERROR(__xludf.DUMMYFUNCTION("""COMPUTED_VALUE"""),44886.66666666667)</f>
        <v>44886.66667</v>
      </c>
      <c r="B419" s="1">
        <f>IFERROR(__xludf.DUMMYFUNCTION("""COMPUTED_VALUE"""),148.01)</f>
        <v>148.01</v>
      </c>
      <c r="C419" s="4">
        <f>IFERROR(__xludf.DUMMYFUNCTION("""COMPUTED_VALUE"""),44886.66666666667)</f>
        <v>44886.66667</v>
      </c>
      <c r="D419" s="1">
        <f>IFERROR(__xludf.DUMMYFUNCTION("""COMPUTED_VALUE"""),242.05)</f>
        <v>242.05</v>
      </c>
      <c r="E419" s="4">
        <f>IFERROR(__xludf.DUMMYFUNCTION("""COMPUTED_VALUE"""),44886.66666666667)</f>
        <v>44886.66667</v>
      </c>
      <c r="F419" s="1">
        <f>IFERROR(__xludf.DUMMYFUNCTION("""COMPUTED_VALUE"""),110.97)</f>
        <v>110.97</v>
      </c>
      <c r="G419" s="4">
        <f>IFERROR(__xludf.DUMMYFUNCTION("""COMPUTED_VALUE"""),44886.66666666667)</f>
        <v>44886.66667</v>
      </c>
      <c r="H419" s="1">
        <f>IFERROR(__xludf.DUMMYFUNCTION("""COMPUTED_VALUE"""),181.24)</f>
        <v>181.24</v>
      </c>
      <c r="I419" s="5">
        <f t="shared" si="1"/>
        <v>0.01466117154</v>
      </c>
      <c r="K419" s="5">
        <f t="shared" si="2"/>
        <v>0.01231150589</v>
      </c>
      <c r="L419" s="5">
        <f t="shared" si="3"/>
        <v>0.02892673696</v>
      </c>
      <c r="M419" s="5">
        <f t="shared" si="4"/>
        <v>0.02565658795</v>
      </c>
      <c r="Q419" s="5"/>
    </row>
    <row r="420">
      <c r="A420" s="4">
        <f>IFERROR(__xludf.DUMMYFUNCTION("""COMPUTED_VALUE"""),44887.66666666667)</f>
        <v>44887.66667</v>
      </c>
      <c r="B420" s="1">
        <f>IFERROR(__xludf.DUMMYFUNCTION("""COMPUTED_VALUE"""),150.18)</f>
        <v>150.18</v>
      </c>
      <c r="C420" s="4">
        <f>IFERROR(__xludf.DUMMYFUNCTION("""COMPUTED_VALUE"""),44887.66666666667)</f>
        <v>44887.66667</v>
      </c>
      <c r="D420" s="1">
        <f>IFERROR(__xludf.DUMMYFUNCTION("""COMPUTED_VALUE"""),245.03)</f>
        <v>245.03</v>
      </c>
      <c r="E420" s="4">
        <f>IFERROR(__xludf.DUMMYFUNCTION("""COMPUTED_VALUE"""),44887.66666666667)</f>
        <v>44887.66667</v>
      </c>
      <c r="F420" s="1">
        <f>IFERROR(__xludf.DUMMYFUNCTION("""COMPUTED_VALUE"""),114.18)</f>
        <v>114.18</v>
      </c>
      <c r="G420" s="4">
        <f>IFERROR(__xludf.DUMMYFUNCTION("""COMPUTED_VALUE"""),44887.66666666667)</f>
        <v>44887.66667</v>
      </c>
      <c r="H420" s="1">
        <f>IFERROR(__xludf.DUMMYFUNCTION("""COMPUTED_VALUE"""),185.89)</f>
        <v>185.89</v>
      </c>
      <c r="I420" s="5">
        <f t="shared" si="1"/>
        <v>0.005926221867</v>
      </c>
      <c r="K420" s="5">
        <f t="shared" si="2"/>
        <v>0.01040688895</v>
      </c>
      <c r="L420" s="5">
        <f t="shared" si="3"/>
        <v>-0.004992117709</v>
      </c>
      <c r="M420" s="5">
        <f t="shared" si="4"/>
        <v>-0.008876217118</v>
      </c>
      <c r="Q420" s="5"/>
    </row>
    <row r="421">
      <c r="A421" s="4">
        <f>IFERROR(__xludf.DUMMYFUNCTION("""COMPUTED_VALUE"""),44888.66666666667)</f>
        <v>44888.66667</v>
      </c>
      <c r="B421" s="1">
        <f>IFERROR(__xludf.DUMMYFUNCTION("""COMPUTED_VALUE"""),151.07)</f>
        <v>151.07</v>
      </c>
      <c r="C421" s="4">
        <f>IFERROR(__xludf.DUMMYFUNCTION("""COMPUTED_VALUE"""),44888.66666666667)</f>
        <v>44888.66667</v>
      </c>
      <c r="D421" s="1">
        <f>IFERROR(__xludf.DUMMYFUNCTION("""COMPUTED_VALUE"""),247.58)</f>
        <v>247.58</v>
      </c>
      <c r="E421" s="4">
        <f>IFERROR(__xludf.DUMMYFUNCTION("""COMPUTED_VALUE"""),44888.66666666667)</f>
        <v>44888.66667</v>
      </c>
      <c r="F421" s="1">
        <f>IFERROR(__xludf.DUMMYFUNCTION("""COMPUTED_VALUE"""),113.61)</f>
        <v>113.61</v>
      </c>
      <c r="G421" s="4">
        <f>IFERROR(__xludf.DUMMYFUNCTION("""COMPUTED_VALUE"""),44888.66666666667)</f>
        <v>44888.66667</v>
      </c>
      <c r="H421" s="1">
        <f>IFERROR(__xludf.DUMMYFUNCTION("""COMPUTED_VALUE"""),184.24)</f>
        <v>184.24</v>
      </c>
      <c r="I421" s="5">
        <f t="shared" si="1"/>
        <v>-0.0195935659</v>
      </c>
      <c r="K421" s="5">
        <f t="shared" si="2"/>
        <v>-0.0003635188626</v>
      </c>
      <c r="L421" s="5">
        <f t="shared" si="3"/>
        <v>-0.00352081683</v>
      </c>
      <c r="M421" s="5">
        <f t="shared" si="4"/>
        <v>-0.002930959618</v>
      </c>
      <c r="Q421" s="5"/>
    </row>
    <row r="422">
      <c r="A422" s="4">
        <f>IFERROR(__xludf.DUMMYFUNCTION("""COMPUTED_VALUE"""),44890.54513888889)</f>
        <v>44890.54514</v>
      </c>
      <c r="B422" s="1">
        <f>IFERROR(__xludf.DUMMYFUNCTION("""COMPUTED_VALUE"""),148.11)</f>
        <v>148.11</v>
      </c>
      <c r="C422" s="4">
        <f>IFERROR(__xludf.DUMMYFUNCTION("""COMPUTED_VALUE"""),44890.54513888889)</f>
        <v>44890.54514</v>
      </c>
      <c r="D422" s="1">
        <f>IFERROR(__xludf.DUMMYFUNCTION("""COMPUTED_VALUE"""),247.49)</f>
        <v>247.49</v>
      </c>
      <c r="E422" s="4">
        <f>IFERROR(__xludf.DUMMYFUNCTION("""COMPUTED_VALUE"""),44890.54166666667)</f>
        <v>44890.54167</v>
      </c>
      <c r="F422" s="1">
        <f>IFERROR(__xludf.DUMMYFUNCTION("""COMPUTED_VALUE"""),113.21)</f>
        <v>113.21</v>
      </c>
      <c r="G422" s="4">
        <f>IFERROR(__xludf.DUMMYFUNCTION("""COMPUTED_VALUE"""),44890.54166666667)</f>
        <v>44890.54167</v>
      </c>
      <c r="H422" s="1">
        <f>IFERROR(__xludf.DUMMYFUNCTION("""COMPUTED_VALUE"""),183.7)</f>
        <v>183.7</v>
      </c>
      <c r="I422" s="5">
        <f t="shared" si="1"/>
        <v>-0.02626426305</v>
      </c>
      <c r="K422" s="5">
        <f t="shared" si="2"/>
        <v>-0.0231524506</v>
      </c>
      <c r="L422" s="5">
        <f t="shared" si="3"/>
        <v>-0.03003268263</v>
      </c>
      <c r="M422" s="5">
        <f t="shared" si="4"/>
        <v>-0.02906913446</v>
      </c>
      <c r="Q422" s="5"/>
    </row>
    <row r="423">
      <c r="A423" s="4">
        <f>IFERROR(__xludf.DUMMYFUNCTION("""COMPUTED_VALUE"""),44893.66666666667)</f>
        <v>44893.66667</v>
      </c>
      <c r="B423" s="1">
        <f>IFERROR(__xludf.DUMMYFUNCTION("""COMPUTED_VALUE"""),144.22)</f>
        <v>144.22</v>
      </c>
      <c r="C423" s="4">
        <f>IFERROR(__xludf.DUMMYFUNCTION("""COMPUTED_VALUE"""),44893.66666666667)</f>
        <v>44893.66667</v>
      </c>
      <c r="D423" s="1">
        <f>IFERROR(__xludf.DUMMYFUNCTION("""COMPUTED_VALUE"""),241.76)</f>
        <v>241.76</v>
      </c>
      <c r="E423" s="4">
        <f>IFERROR(__xludf.DUMMYFUNCTION("""COMPUTED_VALUE"""),44893.66666666667)</f>
        <v>44893.66667</v>
      </c>
      <c r="F423" s="1">
        <f>IFERROR(__xludf.DUMMYFUNCTION("""COMPUTED_VALUE"""),109.81)</f>
        <v>109.81</v>
      </c>
      <c r="G423" s="4">
        <f>IFERROR(__xludf.DUMMYFUNCTION("""COMPUTED_VALUE"""),44893.66666666667)</f>
        <v>44893.66667</v>
      </c>
      <c r="H423" s="1">
        <f>IFERROR(__xludf.DUMMYFUNCTION("""COMPUTED_VALUE"""),178.36)</f>
        <v>178.36</v>
      </c>
      <c r="I423" s="5">
        <f t="shared" si="1"/>
        <v>-0.02114824574</v>
      </c>
      <c r="K423" s="5">
        <f t="shared" si="2"/>
        <v>-0.005914956982</v>
      </c>
      <c r="L423" s="5">
        <f t="shared" si="3"/>
        <v>0.00664784628</v>
      </c>
      <c r="M423" s="5">
        <f t="shared" si="4"/>
        <v>0.01496972415</v>
      </c>
      <c r="Q423" s="5"/>
    </row>
    <row r="424">
      <c r="A424" s="4">
        <f>IFERROR(__xludf.DUMMYFUNCTION("""COMPUTED_VALUE"""),44894.66666666667)</f>
        <v>44894.66667</v>
      </c>
      <c r="B424" s="1">
        <f>IFERROR(__xludf.DUMMYFUNCTION("""COMPUTED_VALUE"""),141.17)</f>
        <v>141.17</v>
      </c>
      <c r="C424" s="4">
        <f>IFERROR(__xludf.DUMMYFUNCTION("""COMPUTED_VALUE"""),44894.66666666667)</f>
        <v>44894.66667</v>
      </c>
      <c r="D424" s="1">
        <f>IFERROR(__xludf.DUMMYFUNCTION("""COMPUTED_VALUE"""),240.33)</f>
        <v>240.33</v>
      </c>
      <c r="E424" s="4">
        <f>IFERROR(__xludf.DUMMYFUNCTION("""COMPUTED_VALUE"""),44894.66666666667)</f>
        <v>44894.66667</v>
      </c>
      <c r="F424" s="1">
        <f>IFERROR(__xludf.DUMMYFUNCTION("""COMPUTED_VALUE"""),110.54)</f>
        <v>110.54</v>
      </c>
      <c r="G424" s="4">
        <f>IFERROR(__xludf.DUMMYFUNCTION("""COMPUTED_VALUE"""),44894.66666666667)</f>
        <v>44894.66667</v>
      </c>
      <c r="H424" s="1">
        <f>IFERROR(__xludf.DUMMYFUNCTION("""COMPUTED_VALUE"""),181.03)</f>
        <v>181.03</v>
      </c>
      <c r="I424" s="5">
        <f t="shared" si="1"/>
        <v>0.04859389389</v>
      </c>
      <c r="K424" s="5">
        <f t="shared" si="2"/>
        <v>0.06162360088</v>
      </c>
      <c r="L424" s="5">
        <f t="shared" si="3"/>
        <v>0.007237199204</v>
      </c>
      <c r="M424" s="5">
        <f t="shared" si="4"/>
        <v>0.01259459758</v>
      </c>
      <c r="Q424" s="5"/>
    </row>
    <row r="425">
      <c r="A425" s="4">
        <f>IFERROR(__xludf.DUMMYFUNCTION("""COMPUTED_VALUE"""),44895.66666666667)</f>
        <v>44895.66667</v>
      </c>
      <c r="B425" s="1">
        <f>IFERROR(__xludf.DUMMYFUNCTION("""COMPUTED_VALUE"""),148.03)</f>
        <v>148.03</v>
      </c>
      <c r="C425" s="4">
        <f>IFERROR(__xludf.DUMMYFUNCTION("""COMPUTED_VALUE"""),44895.66666666667)</f>
        <v>44895.66667</v>
      </c>
      <c r="D425" s="1">
        <f>IFERROR(__xludf.DUMMYFUNCTION("""COMPUTED_VALUE"""),255.14)</f>
        <v>255.14</v>
      </c>
      <c r="E425" s="4">
        <f>IFERROR(__xludf.DUMMYFUNCTION("""COMPUTED_VALUE"""),44895.66666666667)</f>
        <v>44895.66667</v>
      </c>
      <c r="F425" s="1">
        <f>IFERROR(__xludf.DUMMYFUNCTION("""COMPUTED_VALUE"""),111.34)</f>
        <v>111.34</v>
      </c>
      <c r="G425" s="4">
        <f>IFERROR(__xludf.DUMMYFUNCTION("""COMPUTED_VALUE"""),44895.66666666667)</f>
        <v>44895.66667</v>
      </c>
      <c r="H425" s="1">
        <f>IFERROR(__xludf.DUMMYFUNCTION("""COMPUTED_VALUE"""),183.31)</f>
        <v>183.31</v>
      </c>
      <c r="I425" s="5">
        <f t="shared" si="1"/>
        <v>0.001891508478</v>
      </c>
      <c r="K425" s="5">
        <f t="shared" si="2"/>
        <v>-0.001763737556</v>
      </c>
      <c r="L425" s="5">
        <f t="shared" si="3"/>
        <v>-0.004850008981</v>
      </c>
      <c r="M425" s="5">
        <f t="shared" si="4"/>
        <v>-0.004473296601</v>
      </c>
      <c r="Q425" s="5"/>
    </row>
    <row r="426">
      <c r="A426" s="4">
        <f>IFERROR(__xludf.DUMMYFUNCTION("""COMPUTED_VALUE"""),44896.66666666667)</f>
        <v>44896.66667</v>
      </c>
      <c r="B426" s="1">
        <f>IFERROR(__xludf.DUMMYFUNCTION("""COMPUTED_VALUE"""),148.31)</f>
        <v>148.31</v>
      </c>
      <c r="C426" s="4">
        <f>IFERROR(__xludf.DUMMYFUNCTION("""COMPUTED_VALUE"""),44896.66666666667)</f>
        <v>44896.66667</v>
      </c>
      <c r="D426" s="1">
        <f>IFERROR(__xludf.DUMMYFUNCTION("""COMPUTED_VALUE"""),254.69)</f>
        <v>254.69</v>
      </c>
      <c r="E426" s="4">
        <f>IFERROR(__xludf.DUMMYFUNCTION("""COMPUTED_VALUE"""),44896.66666666667)</f>
        <v>44896.66667</v>
      </c>
      <c r="F426" s="1">
        <f>IFERROR(__xludf.DUMMYFUNCTION("""COMPUTED_VALUE"""),110.8)</f>
        <v>110.8</v>
      </c>
      <c r="G426" s="4">
        <f>IFERROR(__xludf.DUMMYFUNCTION("""COMPUTED_VALUE"""),44896.66666666667)</f>
        <v>44896.66667</v>
      </c>
      <c r="H426" s="1">
        <f>IFERROR(__xludf.DUMMYFUNCTION("""COMPUTED_VALUE"""),182.49)</f>
        <v>182.49</v>
      </c>
      <c r="I426" s="5">
        <f t="shared" si="1"/>
        <v>-0.003371316836</v>
      </c>
      <c r="K426" s="5">
        <f t="shared" si="2"/>
        <v>0.001295692803</v>
      </c>
      <c r="L426" s="5">
        <f t="shared" si="3"/>
        <v>-0.008483754513</v>
      </c>
      <c r="M426" s="5">
        <f t="shared" si="4"/>
        <v>-0.00800043838</v>
      </c>
      <c r="Q426" s="5"/>
    </row>
    <row r="427">
      <c r="A427" s="4">
        <f>IFERROR(__xludf.DUMMYFUNCTION("""COMPUTED_VALUE"""),44897.66666666667)</f>
        <v>44897.66667</v>
      </c>
      <c r="B427" s="1">
        <f>IFERROR(__xludf.DUMMYFUNCTION("""COMPUTED_VALUE"""),147.81)</f>
        <v>147.81</v>
      </c>
      <c r="C427" s="4">
        <f>IFERROR(__xludf.DUMMYFUNCTION("""COMPUTED_VALUE"""),44897.66666666667)</f>
        <v>44897.66667</v>
      </c>
      <c r="D427" s="1">
        <f>IFERROR(__xludf.DUMMYFUNCTION("""COMPUTED_VALUE"""),255.02)</f>
        <v>255.02</v>
      </c>
      <c r="E427" s="4">
        <f>IFERROR(__xludf.DUMMYFUNCTION("""COMPUTED_VALUE"""),44897.66666666667)</f>
        <v>44897.66667</v>
      </c>
      <c r="F427" s="1">
        <f>IFERROR(__xludf.DUMMYFUNCTION("""COMPUTED_VALUE"""),109.86)</f>
        <v>109.86</v>
      </c>
      <c r="G427" s="4">
        <f>IFERROR(__xludf.DUMMYFUNCTION("""COMPUTED_VALUE"""),44897.66666666667)</f>
        <v>44897.66667</v>
      </c>
      <c r="H427" s="1">
        <f>IFERROR(__xludf.DUMMYFUNCTION("""COMPUTED_VALUE"""),181.03)</f>
        <v>181.03</v>
      </c>
      <c r="I427" s="5">
        <f t="shared" si="1"/>
        <v>-0.007983221704</v>
      </c>
      <c r="K427" s="5">
        <f t="shared" si="2"/>
        <v>-0.01890047839</v>
      </c>
      <c r="L427" s="5">
        <f t="shared" si="3"/>
        <v>-0.02739850719</v>
      </c>
      <c r="M427" s="5">
        <f t="shared" si="4"/>
        <v>-0.02469203999</v>
      </c>
      <c r="Q427" s="5"/>
    </row>
    <row r="428">
      <c r="A428" s="4">
        <f>IFERROR(__xludf.DUMMYFUNCTION("""COMPUTED_VALUE"""),44900.66666666667)</f>
        <v>44900.66667</v>
      </c>
      <c r="B428" s="1">
        <f>IFERROR(__xludf.DUMMYFUNCTION("""COMPUTED_VALUE"""),146.63)</f>
        <v>146.63</v>
      </c>
      <c r="C428" s="4">
        <f>IFERROR(__xludf.DUMMYFUNCTION("""COMPUTED_VALUE"""),44900.66666666667)</f>
        <v>44900.66667</v>
      </c>
      <c r="D428" s="1">
        <f>IFERROR(__xludf.DUMMYFUNCTION("""COMPUTED_VALUE"""),250.2)</f>
        <v>250.2</v>
      </c>
      <c r="E428" s="4">
        <f>IFERROR(__xludf.DUMMYFUNCTION("""COMPUTED_VALUE"""),44900.66666666667)</f>
        <v>44900.66667</v>
      </c>
      <c r="F428" s="1">
        <f>IFERROR(__xludf.DUMMYFUNCTION("""COMPUTED_VALUE"""),106.85)</f>
        <v>106.85</v>
      </c>
      <c r="G428" s="4">
        <f>IFERROR(__xludf.DUMMYFUNCTION("""COMPUTED_VALUE"""),44900.66666666667)</f>
        <v>44900.66667</v>
      </c>
      <c r="H428" s="1">
        <f>IFERROR(__xludf.DUMMYFUNCTION("""COMPUTED_VALUE"""),176.56)</f>
        <v>176.56</v>
      </c>
      <c r="I428" s="5">
        <f t="shared" si="1"/>
        <v>-0.02536997886</v>
      </c>
      <c r="K428" s="5">
        <f t="shared" si="2"/>
        <v>-0.02030375699</v>
      </c>
      <c r="L428" s="5">
        <f t="shared" si="3"/>
        <v>-0.02779597567</v>
      </c>
      <c r="M428" s="5">
        <f t="shared" si="4"/>
        <v>-0.02577027639</v>
      </c>
      <c r="Q428" s="5"/>
    </row>
    <row r="429">
      <c r="A429" s="4">
        <f>IFERROR(__xludf.DUMMYFUNCTION("""COMPUTED_VALUE"""),44901.66666666667)</f>
        <v>44901.66667</v>
      </c>
      <c r="B429" s="1">
        <f>IFERROR(__xludf.DUMMYFUNCTION("""COMPUTED_VALUE"""),142.91)</f>
        <v>142.91</v>
      </c>
      <c r="C429" s="4">
        <f>IFERROR(__xludf.DUMMYFUNCTION("""COMPUTED_VALUE"""),44901.66666666667)</f>
        <v>44901.66667</v>
      </c>
      <c r="D429" s="1">
        <f>IFERROR(__xludf.DUMMYFUNCTION("""COMPUTED_VALUE"""),245.12)</f>
        <v>245.12</v>
      </c>
      <c r="E429" s="4">
        <f>IFERROR(__xludf.DUMMYFUNCTION("""COMPUTED_VALUE"""),44901.66666666667)</f>
        <v>44901.66667</v>
      </c>
      <c r="F429" s="1">
        <f>IFERROR(__xludf.DUMMYFUNCTION("""COMPUTED_VALUE"""),103.88)</f>
        <v>103.88</v>
      </c>
      <c r="G429" s="4">
        <f>IFERROR(__xludf.DUMMYFUNCTION("""COMPUTED_VALUE"""),44901.66666666667)</f>
        <v>44901.66667</v>
      </c>
      <c r="H429" s="1">
        <f>IFERROR(__xludf.DUMMYFUNCTION("""COMPUTED_VALUE"""),172.01)</f>
        <v>172.01</v>
      </c>
      <c r="I429" s="5">
        <f t="shared" si="1"/>
        <v>-0.01378489959</v>
      </c>
      <c r="K429" s="5">
        <f t="shared" si="2"/>
        <v>-0.003059725849</v>
      </c>
      <c r="L429" s="5">
        <f t="shared" si="3"/>
        <v>-0.002214093184</v>
      </c>
      <c r="M429" s="5">
        <f t="shared" si="4"/>
        <v>0.002964943899</v>
      </c>
      <c r="Q429" s="5"/>
    </row>
    <row r="430">
      <c r="A430" s="4">
        <f>IFERROR(__xludf.DUMMYFUNCTION("""COMPUTED_VALUE"""),44902.66666666667)</f>
        <v>44902.66667</v>
      </c>
      <c r="B430" s="1">
        <f>IFERROR(__xludf.DUMMYFUNCTION("""COMPUTED_VALUE"""),140.94)</f>
        <v>140.94</v>
      </c>
      <c r="C430" s="4">
        <f>IFERROR(__xludf.DUMMYFUNCTION("""COMPUTED_VALUE"""),44902.66666666667)</f>
        <v>44902.66667</v>
      </c>
      <c r="D430" s="1">
        <f>IFERROR(__xludf.DUMMYFUNCTION("""COMPUTED_VALUE"""),244.37)</f>
        <v>244.37</v>
      </c>
      <c r="E430" s="4">
        <f>IFERROR(__xludf.DUMMYFUNCTION("""COMPUTED_VALUE"""),44902.66666666667)</f>
        <v>44902.66667</v>
      </c>
      <c r="F430" s="1">
        <f>IFERROR(__xludf.DUMMYFUNCTION("""COMPUTED_VALUE"""),103.65)</f>
        <v>103.65</v>
      </c>
      <c r="G430" s="4">
        <f>IFERROR(__xludf.DUMMYFUNCTION("""COMPUTED_VALUE"""),44902.66666666667)</f>
        <v>44902.66667</v>
      </c>
      <c r="H430" s="1">
        <f>IFERROR(__xludf.DUMMYFUNCTION("""COMPUTED_VALUE"""),172.52)</f>
        <v>172.52</v>
      </c>
      <c r="I430" s="5">
        <f t="shared" si="1"/>
        <v>0.01213282248</v>
      </c>
      <c r="K430" s="5">
        <f t="shared" si="2"/>
        <v>0.01239923067</v>
      </c>
      <c r="L430" s="5">
        <f t="shared" si="3"/>
        <v>0.007428847082</v>
      </c>
      <c r="M430" s="5">
        <f t="shared" si="4"/>
        <v>0.005912357987</v>
      </c>
      <c r="Q430" s="5"/>
    </row>
    <row r="431">
      <c r="A431" s="4">
        <f>IFERROR(__xludf.DUMMYFUNCTION("""COMPUTED_VALUE"""),44903.66666666667)</f>
        <v>44903.66667</v>
      </c>
      <c r="B431" s="1">
        <f>IFERROR(__xludf.DUMMYFUNCTION("""COMPUTED_VALUE"""),142.65)</f>
        <v>142.65</v>
      </c>
      <c r="C431" s="4">
        <f>IFERROR(__xludf.DUMMYFUNCTION("""COMPUTED_VALUE"""),44903.66666666667)</f>
        <v>44903.66667</v>
      </c>
      <c r="D431" s="1">
        <f>IFERROR(__xludf.DUMMYFUNCTION("""COMPUTED_VALUE"""),247.4)</f>
        <v>247.4</v>
      </c>
      <c r="E431" s="4">
        <f>IFERROR(__xludf.DUMMYFUNCTION("""COMPUTED_VALUE"""),44903.66666666667)</f>
        <v>44903.66667</v>
      </c>
      <c r="F431" s="1">
        <f>IFERROR(__xludf.DUMMYFUNCTION("""COMPUTED_VALUE"""),104.42)</f>
        <v>104.42</v>
      </c>
      <c r="G431" s="4">
        <f>IFERROR(__xludf.DUMMYFUNCTION("""COMPUTED_VALUE"""),44903.66666666667)</f>
        <v>44903.66667</v>
      </c>
      <c r="H431" s="1">
        <f>IFERROR(__xludf.DUMMYFUNCTION("""COMPUTED_VALUE"""),173.54)</f>
        <v>173.54</v>
      </c>
      <c r="I431" s="5">
        <f t="shared" si="1"/>
        <v>-0.003434980722</v>
      </c>
      <c r="K431" s="5">
        <f t="shared" si="2"/>
        <v>-0.00800323363</v>
      </c>
      <c r="L431" s="5">
        <f t="shared" si="3"/>
        <v>-0.00842750431</v>
      </c>
      <c r="M431" s="5">
        <f t="shared" si="4"/>
        <v>-0.03192347586</v>
      </c>
      <c r="Q431" s="5"/>
    </row>
    <row r="432">
      <c r="A432" s="4">
        <f>IFERROR(__xludf.DUMMYFUNCTION("""COMPUTED_VALUE"""),44904.66666666667)</f>
        <v>44904.66667</v>
      </c>
      <c r="B432" s="1">
        <f>IFERROR(__xludf.DUMMYFUNCTION("""COMPUTED_VALUE"""),142.16)</f>
        <v>142.16</v>
      </c>
      <c r="C432" s="4">
        <f>IFERROR(__xludf.DUMMYFUNCTION("""COMPUTED_VALUE"""),44904.66666666667)</f>
        <v>44904.66667</v>
      </c>
      <c r="D432" s="1">
        <f>IFERROR(__xludf.DUMMYFUNCTION("""COMPUTED_VALUE"""),245.42)</f>
        <v>245.42</v>
      </c>
      <c r="E432" s="4">
        <f>IFERROR(__xludf.DUMMYFUNCTION("""COMPUTED_VALUE"""),44904.66666666667)</f>
        <v>44904.66667</v>
      </c>
      <c r="F432" s="1">
        <f>IFERROR(__xludf.DUMMYFUNCTION("""COMPUTED_VALUE"""),103.54)</f>
        <v>103.54</v>
      </c>
      <c r="G432" s="4">
        <f>IFERROR(__xludf.DUMMYFUNCTION("""COMPUTED_VALUE"""),44904.66666666667)</f>
        <v>44904.66667</v>
      </c>
      <c r="H432" s="1">
        <f>IFERROR(__xludf.DUMMYFUNCTION("""COMPUTED_VALUE"""),168.0)</f>
        <v>168</v>
      </c>
      <c r="I432" s="5">
        <f t="shared" si="1"/>
        <v>0.01638998312</v>
      </c>
      <c r="K432" s="5">
        <f t="shared" si="2"/>
        <v>0.02888925108</v>
      </c>
      <c r="L432" s="5">
        <f t="shared" si="3"/>
        <v>0.02462816303</v>
      </c>
      <c r="M432" s="5">
        <f t="shared" si="4"/>
        <v>0.01041666667</v>
      </c>
      <c r="Q432" s="5"/>
    </row>
    <row r="433">
      <c r="A433" s="4">
        <f>IFERROR(__xludf.DUMMYFUNCTION("""COMPUTED_VALUE"""),44907.66666666667)</f>
        <v>44907.66667</v>
      </c>
      <c r="B433" s="1">
        <f>IFERROR(__xludf.DUMMYFUNCTION("""COMPUTED_VALUE"""),144.49)</f>
        <v>144.49</v>
      </c>
      <c r="C433" s="4">
        <f>IFERROR(__xludf.DUMMYFUNCTION("""COMPUTED_VALUE"""),44907.66666666667)</f>
        <v>44907.66667</v>
      </c>
      <c r="D433" s="1">
        <f>IFERROR(__xludf.DUMMYFUNCTION("""COMPUTED_VALUE"""),252.51)</f>
        <v>252.51</v>
      </c>
      <c r="E433" s="4">
        <f>IFERROR(__xludf.DUMMYFUNCTION("""COMPUTED_VALUE"""),44907.66666666667)</f>
        <v>44907.66667</v>
      </c>
      <c r="F433" s="1">
        <f>IFERROR(__xludf.DUMMYFUNCTION("""COMPUTED_VALUE"""),106.09)</f>
        <v>106.09</v>
      </c>
      <c r="G433" s="4">
        <f>IFERROR(__xludf.DUMMYFUNCTION("""COMPUTED_VALUE"""),44907.66666666667)</f>
        <v>44907.66667</v>
      </c>
      <c r="H433" s="1">
        <f>IFERROR(__xludf.DUMMYFUNCTION("""COMPUTED_VALUE"""),169.75)</f>
        <v>169.75</v>
      </c>
      <c r="I433" s="5">
        <f t="shared" si="1"/>
        <v>0.006782476296</v>
      </c>
      <c r="K433" s="5">
        <f t="shared" si="2"/>
        <v>0.01746465487</v>
      </c>
      <c r="L433" s="5">
        <f t="shared" si="3"/>
        <v>0.01093411255</v>
      </c>
      <c r="M433" s="5">
        <f t="shared" si="4"/>
        <v>0.02226804124</v>
      </c>
      <c r="Q433" s="5"/>
    </row>
    <row r="434">
      <c r="A434" s="4">
        <f>IFERROR(__xludf.DUMMYFUNCTION("""COMPUTED_VALUE"""),44908.66666666667)</f>
        <v>44908.66667</v>
      </c>
      <c r="B434" s="1">
        <f>IFERROR(__xludf.DUMMYFUNCTION("""COMPUTED_VALUE"""),145.47)</f>
        <v>145.47</v>
      </c>
      <c r="C434" s="4">
        <f>IFERROR(__xludf.DUMMYFUNCTION("""COMPUTED_VALUE"""),44908.66666666667)</f>
        <v>44908.66667</v>
      </c>
      <c r="D434" s="1">
        <f>IFERROR(__xludf.DUMMYFUNCTION("""COMPUTED_VALUE"""),256.92)</f>
        <v>256.92</v>
      </c>
      <c r="E434" s="4">
        <f>IFERROR(__xludf.DUMMYFUNCTION("""COMPUTED_VALUE"""),44908.66666666667)</f>
        <v>44908.66667</v>
      </c>
      <c r="F434" s="1">
        <f>IFERROR(__xludf.DUMMYFUNCTION("""COMPUTED_VALUE"""),107.25)</f>
        <v>107.25</v>
      </c>
      <c r="G434" s="4">
        <f>IFERROR(__xludf.DUMMYFUNCTION("""COMPUTED_VALUE"""),44908.66666666667)</f>
        <v>44908.66667</v>
      </c>
      <c r="H434" s="1">
        <f>IFERROR(__xludf.DUMMYFUNCTION("""COMPUTED_VALUE"""),173.53)</f>
        <v>173.53</v>
      </c>
      <c r="I434" s="5">
        <f t="shared" si="1"/>
        <v>-0.01553584932</v>
      </c>
      <c r="K434" s="5">
        <f t="shared" si="2"/>
        <v>0.001167678655</v>
      </c>
      <c r="L434" s="5">
        <f t="shared" si="3"/>
        <v>-0.007365967366</v>
      </c>
      <c r="M434" s="5">
        <f t="shared" si="4"/>
        <v>-0.006915230796</v>
      </c>
      <c r="Q434" s="5"/>
    </row>
    <row r="435">
      <c r="A435" s="4">
        <f>IFERROR(__xludf.DUMMYFUNCTION("""COMPUTED_VALUE"""),44909.66666666667)</f>
        <v>44909.66667</v>
      </c>
      <c r="B435" s="1">
        <f>IFERROR(__xludf.DUMMYFUNCTION("""COMPUTED_VALUE"""),143.21)</f>
        <v>143.21</v>
      </c>
      <c r="C435" s="4">
        <f>IFERROR(__xludf.DUMMYFUNCTION("""COMPUTED_VALUE"""),44909.66666666667)</f>
        <v>44909.66667</v>
      </c>
      <c r="D435" s="1">
        <f>IFERROR(__xludf.DUMMYFUNCTION("""COMPUTED_VALUE"""),257.22)</f>
        <v>257.22</v>
      </c>
      <c r="E435" s="4">
        <f>IFERROR(__xludf.DUMMYFUNCTION("""COMPUTED_VALUE"""),44909.66666666667)</f>
        <v>44909.66667</v>
      </c>
      <c r="F435" s="1">
        <f>IFERROR(__xludf.DUMMYFUNCTION("""COMPUTED_VALUE"""),106.46)</f>
        <v>106.46</v>
      </c>
      <c r="G435" s="4">
        <f>IFERROR(__xludf.DUMMYFUNCTION("""COMPUTED_VALUE"""),44909.66666666667)</f>
        <v>44909.66667</v>
      </c>
      <c r="H435" s="1">
        <f>IFERROR(__xludf.DUMMYFUNCTION("""COMPUTED_VALUE"""),172.33)</f>
        <v>172.33</v>
      </c>
      <c r="I435" s="5">
        <f t="shared" si="1"/>
        <v>-0.04685426995</v>
      </c>
      <c r="K435" s="5">
        <f t="shared" si="2"/>
        <v>-0.03191820232</v>
      </c>
      <c r="L435" s="5">
        <f t="shared" si="3"/>
        <v>-0.00958106331</v>
      </c>
      <c r="M435" s="5">
        <f t="shared" si="4"/>
        <v>-0.00748563802</v>
      </c>
      <c r="Q435" s="5"/>
    </row>
    <row r="436">
      <c r="A436" s="4">
        <f>IFERROR(__xludf.DUMMYFUNCTION("""COMPUTED_VALUE"""),44910.66666666667)</f>
        <v>44910.66667</v>
      </c>
      <c r="B436" s="1">
        <f>IFERROR(__xludf.DUMMYFUNCTION("""COMPUTED_VALUE"""),136.5)</f>
        <v>136.5</v>
      </c>
      <c r="C436" s="4">
        <f>IFERROR(__xludf.DUMMYFUNCTION("""COMPUTED_VALUE"""),44910.66666666667)</f>
        <v>44910.66667</v>
      </c>
      <c r="D436" s="1">
        <f>IFERROR(__xludf.DUMMYFUNCTION("""COMPUTED_VALUE"""),249.01)</f>
        <v>249.01</v>
      </c>
      <c r="E436" s="4">
        <f>IFERROR(__xludf.DUMMYFUNCTION("""COMPUTED_VALUE"""),44910.66666666667)</f>
        <v>44910.66667</v>
      </c>
      <c r="F436" s="1">
        <f>IFERROR(__xludf.DUMMYFUNCTION("""COMPUTED_VALUE"""),105.44)</f>
        <v>105.44</v>
      </c>
      <c r="G436" s="4">
        <f>IFERROR(__xludf.DUMMYFUNCTION("""COMPUTED_VALUE"""),44910.66666666667)</f>
        <v>44910.66667</v>
      </c>
      <c r="H436" s="1">
        <f>IFERROR(__xludf.DUMMYFUNCTION("""COMPUTED_VALUE"""),171.04)</f>
        <v>171.04</v>
      </c>
      <c r="I436" s="5">
        <f t="shared" si="1"/>
        <v>-0.01457875458</v>
      </c>
      <c r="K436" s="5">
        <f t="shared" si="2"/>
        <v>-0.01734870086</v>
      </c>
      <c r="L436" s="5">
        <f t="shared" si="3"/>
        <v>-0.007018209408</v>
      </c>
      <c r="M436" s="5">
        <f t="shared" si="4"/>
        <v>-0.01356407858</v>
      </c>
      <c r="Q436" s="5"/>
    </row>
    <row r="437">
      <c r="A437" s="4">
        <f>IFERROR(__xludf.DUMMYFUNCTION("""COMPUTED_VALUE"""),44911.66666666667)</f>
        <v>44911.66667</v>
      </c>
      <c r="B437" s="1">
        <f>IFERROR(__xludf.DUMMYFUNCTION("""COMPUTED_VALUE"""),134.51)</f>
        <v>134.51</v>
      </c>
      <c r="C437" s="4">
        <f>IFERROR(__xludf.DUMMYFUNCTION("""COMPUTED_VALUE"""),44911.66666666667)</f>
        <v>44911.66667</v>
      </c>
      <c r="D437" s="1">
        <f>IFERROR(__xludf.DUMMYFUNCTION("""COMPUTED_VALUE"""),244.69)</f>
        <v>244.69</v>
      </c>
      <c r="E437" s="4">
        <f>IFERROR(__xludf.DUMMYFUNCTION("""COMPUTED_VALUE"""),44911.66666666667)</f>
        <v>44911.66667</v>
      </c>
      <c r="F437" s="1">
        <f>IFERROR(__xludf.DUMMYFUNCTION("""COMPUTED_VALUE"""),104.7)</f>
        <v>104.7</v>
      </c>
      <c r="G437" s="4">
        <f>IFERROR(__xludf.DUMMYFUNCTION("""COMPUTED_VALUE"""),44911.66666666667)</f>
        <v>44911.66667</v>
      </c>
      <c r="H437" s="1">
        <f>IFERROR(__xludf.DUMMYFUNCTION("""COMPUTED_VALUE"""),168.72)</f>
        <v>168.72</v>
      </c>
      <c r="I437" s="5">
        <f t="shared" si="1"/>
        <v>-0.0159095978</v>
      </c>
      <c r="K437" s="5">
        <f t="shared" si="2"/>
        <v>-0.01732804773</v>
      </c>
      <c r="L437" s="5">
        <f t="shared" si="3"/>
        <v>0.004489016237</v>
      </c>
      <c r="M437" s="5">
        <f t="shared" si="4"/>
        <v>0.006875296349</v>
      </c>
      <c r="Q437" s="5"/>
    </row>
    <row r="438">
      <c r="A438" s="4">
        <f>IFERROR(__xludf.DUMMYFUNCTION("""COMPUTED_VALUE"""),44914.66666666667)</f>
        <v>44914.66667</v>
      </c>
      <c r="B438" s="1">
        <f>IFERROR(__xludf.DUMMYFUNCTION("""COMPUTED_VALUE"""),132.37)</f>
        <v>132.37</v>
      </c>
      <c r="C438" s="4">
        <f>IFERROR(__xludf.DUMMYFUNCTION("""COMPUTED_VALUE"""),44914.66666666667)</f>
        <v>44914.66667</v>
      </c>
      <c r="D438" s="1">
        <f>IFERROR(__xludf.DUMMYFUNCTION("""COMPUTED_VALUE"""),240.45)</f>
        <v>240.45</v>
      </c>
      <c r="E438" s="4">
        <f>IFERROR(__xludf.DUMMYFUNCTION("""COMPUTED_VALUE"""),44914.66666666667)</f>
        <v>44914.66667</v>
      </c>
      <c r="F438" s="1">
        <f>IFERROR(__xludf.DUMMYFUNCTION("""COMPUTED_VALUE"""),105.17)</f>
        <v>105.17</v>
      </c>
      <c r="G438" s="4">
        <f>IFERROR(__xludf.DUMMYFUNCTION("""COMPUTED_VALUE"""),44914.66666666667)</f>
        <v>44914.66667</v>
      </c>
      <c r="H438" s="1">
        <f>IFERROR(__xludf.DUMMYFUNCTION("""COMPUTED_VALUE"""),169.88)</f>
        <v>169.88</v>
      </c>
      <c r="I438" s="5">
        <f t="shared" si="1"/>
        <v>-0.0005288207298</v>
      </c>
      <c r="K438" s="5">
        <f t="shared" si="2"/>
        <v>0.005614472863</v>
      </c>
      <c r="L438" s="5">
        <f t="shared" si="3"/>
        <v>0.01445279072</v>
      </c>
      <c r="M438" s="5">
        <f t="shared" si="4"/>
        <v>0.01642335766</v>
      </c>
      <c r="Q438" s="5"/>
    </row>
    <row r="439">
      <c r="A439" s="4">
        <f>IFERROR(__xludf.DUMMYFUNCTION("""COMPUTED_VALUE"""),44915.66666666667)</f>
        <v>44915.66667</v>
      </c>
      <c r="B439" s="1">
        <f>IFERROR(__xludf.DUMMYFUNCTION("""COMPUTED_VALUE"""),132.3)</f>
        <v>132.3</v>
      </c>
      <c r="C439" s="4">
        <f>IFERROR(__xludf.DUMMYFUNCTION("""COMPUTED_VALUE"""),44915.66666666667)</f>
        <v>44915.66667</v>
      </c>
      <c r="D439" s="1">
        <f>IFERROR(__xludf.DUMMYFUNCTION("""COMPUTED_VALUE"""),241.8)</f>
        <v>241.8</v>
      </c>
      <c r="E439" s="4">
        <f>IFERROR(__xludf.DUMMYFUNCTION("""COMPUTED_VALUE"""),44915.66666666667)</f>
        <v>44915.66667</v>
      </c>
      <c r="F439" s="1">
        <f>IFERROR(__xludf.DUMMYFUNCTION("""COMPUTED_VALUE"""),106.69)</f>
        <v>106.69</v>
      </c>
      <c r="G439" s="4">
        <f>IFERROR(__xludf.DUMMYFUNCTION("""COMPUTED_VALUE"""),44915.66666666667)</f>
        <v>44915.66667</v>
      </c>
      <c r="H439" s="1">
        <f>IFERROR(__xludf.DUMMYFUNCTION("""COMPUTED_VALUE"""),172.67)</f>
        <v>172.67</v>
      </c>
      <c r="I439" s="5">
        <f t="shared" si="1"/>
        <v>0.02380952381</v>
      </c>
      <c r="K439" s="5">
        <f t="shared" si="2"/>
        <v>0.01087675765</v>
      </c>
      <c r="L439" s="5">
        <f t="shared" si="3"/>
        <v>0.01284094104</v>
      </c>
      <c r="M439" s="5">
        <f t="shared" si="4"/>
        <v>0.0117565298</v>
      </c>
      <c r="Q439" s="5"/>
    </row>
    <row r="440">
      <c r="A440" s="4">
        <f>IFERROR(__xludf.DUMMYFUNCTION("""COMPUTED_VALUE"""),44916.66666666667)</f>
        <v>44916.66667</v>
      </c>
      <c r="B440" s="1">
        <f>IFERROR(__xludf.DUMMYFUNCTION("""COMPUTED_VALUE"""),135.45)</f>
        <v>135.45</v>
      </c>
      <c r="C440" s="4">
        <f>IFERROR(__xludf.DUMMYFUNCTION("""COMPUTED_VALUE"""),44916.66666666667)</f>
        <v>44916.66667</v>
      </c>
      <c r="D440" s="1">
        <f>IFERROR(__xludf.DUMMYFUNCTION("""COMPUTED_VALUE"""),244.43)</f>
        <v>244.43</v>
      </c>
      <c r="E440" s="4">
        <f>IFERROR(__xludf.DUMMYFUNCTION("""COMPUTED_VALUE"""),44916.66666666667)</f>
        <v>44916.66667</v>
      </c>
      <c r="F440" s="1">
        <f>IFERROR(__xludf.DUMMYFUNCTION("""COMPUTED_VALUE"""),108.06)</f>
        <v>108.06</v>
      </c>
      <c r="G440" s="4">
        <f>IFERROR(__xludf.DUMMYFUNCTION("""COMPUTED_VALUE"""),44916.66666666667)</f>
        <v>44916.66667</v>
      </c>
      <c r="H440" s="1">
        <f>IFERROR(__xludf.DUMMYFUNCTION("""COMPUTED_VALUE"""),174.7)</f>
        <v>174.7</v>
      </c>
      <c r="I440" s="5">
        <f t="shared" si="1"/>
        <v>-0.02377260982</v>
      </c>
      <c r="K440" s="5">
        <f t="shared" si="2"/>
        <v>-0.02552878125</v>
      </c>
      <c r="L440" s="5">
        <f t="shared" si="3"/>
        <v>-0.02017397742</v>
      </c>
      <c r="M440" s="5">
        <f t="shared" si="4"/>
        <v>-0.01499713795</v>
      </c>
      <c r="Q440" s="5"/>
    </row>
    <row r="441">
      <c r="A441" s="4">
        <f>IFERROR(__xludf.DUMMYFUNCTION("""COMPUTED_VALUE"""),44917.66666666667)</f>
        <v>44917.66667</v>
      </c>
      <c r="B441" s="1">
        <f>IFERROR(__xludf.DUMMYFUNCTION("""COMPUTED_VALUE"""),132.23)</f>
        <v>132.23</v>
      </c>
      <c r="C441" s="4">
        <f>IFERROR(__xludf.DUMMYFUNCTION("""COMPUTED_VALUE"""),44917.66666666667)</f>
        <v>44917.66667</v>
      </c>
      <c r="D441" s="1">
        <f>IFERROR(__xludf.DUMMYFUNCTION("""COMPUTED_VALUE"""),238.19)</f>
        <v>238.19</v>
      </c>
      <c r="E441" s="4">
        <f>IFERROR(__xludf.DUMMYFUNCTION("""COMPUTED_VALUE"""),44917.66666666667)</f>
        <v>44917.66667</v>
      </c>
      <c r="F441" s="1">
        <f>IFERROR(__xludf.DUMMYFUNCTION("""COMPUTED_VALUE"""),105.88)</f>
        <v>105.88</v>
      </c>
      <c r="G441" s="4">
        <f>IFERROR(__xludf.DUMMYFUNCTION("""COMPUTED_VALUE"""),44917.66666666667)</f>
        <v>44917.66667</v>
      </c>
      <c r="H441" s="1">
        <f>IFERROR(__xludf.DUMMYFUNCTION("""COMPUTED_VALUE"""),172.08)</f>
        <v>172.08</v>
      </c>
      <c r="I441" s="5">
        <f t="shared" si="1"/>
        <v>-0.00279815473</v>
      </c>
      <c r="K441" s="5">
        <f t="shared" si="2"/>
        <v>0.002267097695</v>
      </c>
      <c r="L441" s="5">
        <f t="shared" si="3"/>
        <v>0.02644503211</v>
      </c>
      <c r="M441" s="5">
        <f t="shared" si="4"/>
        <v>0.03091585309</v>
      </c>
      <c r="Q441" s="5"/>
    </row>
    <row r="442">
      <c r="A442" s="4">
        <f>IFERROR(__xludf.DUMMYFUNCTION("""COMPUTED_VALUE"""),44918.66666666667)</f>
        <v>44918.66667</v>
      </c>
      <c r="B442" s="1">
        <f>IFERROR(__xludf.DUMMYFUNCTION("""COMPUTED_VALUE"""),131.86)</f>
        <v>131.86</v>
      </c>
      <c r="C442" s="4">
        <f>IFERROR(__xludf.DUMMYFUNCTION("""COMPUTED_VALUE"""),44918.66666666667)</f>
        <v>44918.66667</v>
      </c>
      <c r="D442" s="1">
        <f>IFERROR(__xludf.DUMMYFUNCTION("""COMPUTED_VALUE"""),238.73)</f>
        <v>238.73</v>
      </c>
      <c r="E442" s="4">
        <f>IFERROR(__xludf.DUMMYFUNCTION("""COMPUTED_VALUE"""),44918.66666666667)</f>
        <v>44918.66667</v>
      </c>
      <c r="F442" s="1">
        <f>IFERROR(__xludf.DUMMYFUNCTION("""COMPUTED_VALUE"""),108.68)</f>
        <v>108.68</v>
      </c>
      <c r="G442" s="4">
        <f>IFERROR(__xludf.DUMMYFUNCTION("""COMPUTED_VALUE"""),44918.66666666667)</f>
        <v>44918.66667</v>
      </c>
      <c r="H442" s="1">
        <f>IFERROR(__xludf.DUMMYFUNCTION("""COMPUTED_VALUE"""),177.4)</f>
        <v>177.4</v>
      </c>
      <c r="I442" s="5">
        <f t="shared" si="1"/>
        <v>-0.01387835583</v>
      </c>
      <c r="K442" s="5">
        <f t="shared" si="2"/>
        <v>-0.007414233653</v>
      </c>
      <c r="L442" s="5">
        <f t="shared" si="3"/>
        <v>0.01389400074</v>
      </c>
      <c r="M442" s="5">
        <f t="shared" si="4"/>
        <v>0.01257046223</v>
      </c>
      <c r="Q442" s="5"/>
    </row>
    <row r="443">
      <c r="A443" s="4">
        <f>IFERROR(__xludf.DUMMYFUNCTION("""COMPUTED_VALUE"""),44922.66666666667)</f>
        <v>44922.66667</v>
      </c>
      <c r="B443" s="1">
        <f>IFERROR(__xludf.DUMMYFUNCTION("""COMPUTED_VALUE"""),130.03)</f>
        <v>130.03</v>
      </c>
      <c r="C443" s="4">
        <f>IFERROR(__xludf.DUMMYFUNCTION("""COMPUTED_VALUE"""),44922.66666666667)</f>
        <v>44922.66667</v>
      </c>
      <c r="D443" s="1">
        <f>IFERROR(__xludf.DUMMYFUNCTION("""COMPUTED_VALUE"""),236.96)</f>
        <v>236.96</v>
      </c>
      <c r="E443" s="4">
        <f>IFERROR(__xludf.DUMMYFUNCTION("""COMPUTED_VALUE"""),44922.66666666667)</f>
        <v>44922.66667</v>
      </c>
      <c r="F443" s="1">
        <f>IFERROR(__xludf.DUMMYFUNCTION("""COMPUTED_VALUE"""),110.19)</f>
        <v>110.19</v>
      </c>
      <c r="G443" s="4">
        <f>IFERROR(__xludf.DUMMYFUNCTION("""COMPUTED_VALUE"""),44922.66666666667)</f>
        <v>44922.66667</v>
      </c>
      <c r="H443" s="1">
        <f>IFERROR(__xludf.DUMMYFUNCTION("""COMPUTED_VALUE"""),179.63)</f>
        <v>179.63</v>
      </c>
      <c r="I443" s="5">
        <f t="shared" si="1"/>
        <v>-0.03068522649</v>
      </c>
      <c r="K443" s="5">
        <f t="shared" si="2"/>
        <v>-0.01025489534</v>
      </c>
      <c r="L443" s="5">
        <f t="shared" si="3"/>
        <v>-0.01642617297</v>
      </c>
      <c r="M443" s="5">
        <f t="shared" si="4"/>
        <v>-0.0147525469</v>
      </c>
      <c r="Q443" s="5"/>
    </row>
    <row r="444">
      <c r="A444" s="4">
        <f>IFERROR(__xludf.DUMMYFUNCTION("""COMPUTED_VALUE"""),44923.66666666667)</f>
        <v>44923.66667</v>
      </c>
      <c r="B444" s="1">
        <f>IFERROR(__xludf.DUMMYFUNCTION("""COMPUTED_VALUE"""),126.04)</f>
        <v>126.04</v>
      </c>
      <c r="C444" s="4">
        <f>IFERROR(__xludf.DUMMYFUNCTION("""COMPUTED_VALUE"""),44923.66666666667)</f>
        <v>44923.66667</v>
      </c>
      <c r="D444" s="1">
        <f>IFERROR(__xludf.DUMMYFUNCTION("""COMPUTED_VALUE"""),234.53)</f>
        <v>234.53</v>
      </c>
      <c r="E444" s="4">
        <f>IFERROR(__xludf.DUMMYFUNCTION("""COMPUTED_VALUE"""),44923.66666666667)</f>
        <v>44923.66667</v>
      </c>
      <c r="F444" s="1">
        <f>IFERROR(__xludf.DUMMYFUNCTION("""COMPUTED_VALUE"""),108.38)</f>
        <v>108.38</v>
      </c>
      <c r="G444" s="4">
        <f>IFERROR(__xludf.DUMMYFUNCTION("""COMPUTED_VALUE"""),44923.66666666667)</f>
        <v>44923.66667</v>
      </c>
      <c r="H444" s="1">
        <f>IFERROR(__xludf.DUMMYFUNCTION("""COMPUTED_VALUE"""),176.98)</f>
        <v>176.98</v>
      </c>
      <c r="I444" s="5">
        <f t="shared" si="1"/>
        <v>0.02832434148</v>
      </c>
      <c r="K444" s="5">
        <f t="shared" si="2"/>
        <v>0.02762972754</v>
      </c>
      <c r="L444" s="5">
        <f t="shared" si="3"/>
        <v>0.007565971581</v>
      </c>
      <c r="M444" s="5">
        <f t="shared" si="4"/>
        <v>0.007571477003</v>
      </c>
      <c r="Q444" s="5"/>
    </row>
    <row r="445">
      <c r="A445" s="4">
        <f>IFERROR(__xludf.DUMMYFUNCTION("""COMPUTED_VALUE"""),44924.66666666667)</f>
        <v>44924.66667</v>
      </c>
      <c r="B445" s="1">
        <f>IFERROR(__xludf.DUMMYFUNCTION("""COMPUTED_VALUE"""),129.61)</f>
        <v>129.61</v>
      </c>
      <c r="C445" s="4">
        <f>IFERROR(__xludf.DUMMYFUNCTION("""COMPUTED_VALUE"""),44924.66666666667)</f>
        <v>44924.66667</v>
      </c>
      <c r="D445" s="1">
        <f>IFERROR(__xludf.DUMMYFUNCTION("""COMPUTED_VALUE"""),241.01)</f>
        <v>241.01</v>
      </c>
      <c r="E445" s="4">
        <f>IFERROR(__xludf.DUMMYFUNCTION("""COMPUTED_VALUE"""),44924.66666666667)</f>
        <v>44924.66667</v>
      </c>
      <c r="F445" s="1">
        <f>IFERROR(__xludf.DUMMYFUNCTION("""COMPUTED_VALUE"""),109.2)</f>
        <v>109.2</v>
      </c>
      <c r="G445" s="4">
        <f>IFERROR(__xludf.DUMMYFUNCTION("""COMPUTED_VALUE"""),44924.66666666667)</f>
        <v>44924.66667</v>
      </c>
      <c r="H445" s="1">
        <f>IFERROR(__xludf.DUMMYFUNCTION("""COMPUTED_VALUE"""),178.32)</f>
        <v>178.32</v>
      </c>
      <c r="I445" s="5">
        <f t="shared" si="1"/>
        <v>0.002468945297</v>
      </c>
      <c r="K445" s="5">
        <f t="shared" si="2"/>
        <v>-0.004937554458</v>
      </c>
      <c r="L445" s="5">
        <f t="shared" si="3"/>
        <v>0.01007326007</v>
      </c>
      <c r="M445" s="5">
        <f t="shared" si="4"/>
        <v>0.006561238223</v>
      </c>
      <c r="Q445" s="5"/>
    </row>
    <row r="446">
      <c r="A446" s="4">
        <f>IFERROR(__xludf.DUMMYFUNCTION("""COMPUTED_VALUE"""),44925.66666666667)</f>
        <v>44925.66667</v>
      </c>
      <c r="B446" s="1">
        <f>IFERROR(__xludf.DUMMYFUNCTION("""COMPUTED_VALUE"""),129.93)</f>
        <v>129.93</v>
      </c>
      <c r="C446" s="4">
        <f>IFERROR(__xludf.DUMMYFUNCTION("""COMPUTED_VALUE"""),44925.66666666667)</f>
        <v>44925.66667</v>
      </c>
      <c r="D446" s="1">
        <f>IFERROR(__xludf.DUMMYFUNCTION("""COMPUTED_VALUE"""),239.82)</f>
        <v>239.82</v>
      </c>
      <c r="E446" s="4">
        <f>IFERROR(__xludf.DUMMYFUNCTION("""COMPUTED_VALUE"""),44925.66666666667)</f>
        <v>44925.66667</v>
      </c>
      <c r="F446" s="1">
        <f>IFERROR(__xludf.DUMMYFUNCTION("""COMPUTED_VALUE"""),110.3)</f>
        <v>110.3</v>
      </c>
      <c r="G446" s="4">
        <f>IFERROR(__xludf.DUMMYFUNCTION("""COMPUTED_VALUE"""),44925.66666666667)</f>
        <v>44925.66667</v>
      </c>
      <c r="H446" s="1">
        <f>IFERROR(__xludf.DUMMYFUNCTION("""COMPUTED_VALUE"""),179.49)</f>
        <v>179.49</v>
      </c>
      <c r="I446" s="5">
        <f t="shared" si="1"/>
        <v>-0.03740475641</v>
      </c>
      <c r="K446" s="5">
        <f t="shared" si="2"/>
        <v>-0.001000750563</v>
      </c>
      <c r="L446" s="5">
        <f t="shared" si="3"/>
        <v>-0.03436083409</v>
      </c>
      <c r="M446" s="5">
        <f t="shared" si="4"/>
        <v>-0.03064237562</v>
      </c>
      <c r="Q446" s="5"/>
    </row>
    <row r="447">
      <c r="A447" s="4">
        <f>IFERROR(__xludf.DUMMYFUNCTION("""COMPUTED_VALUE"""),44929.66666666667)</f>
        <v>44929.66667</v>
      </c>
      <c r="B447" s="1">
        <f>IFERROR(__xludf.DUMMYFUNCTION("""COMPUTED_VALUE"""),125.07)</f>
        <v>125.07</v>
      </c>
      <c r="C447" s="4">
        <f>IFERROR(__xludf.DUMMYFUNCTION("""COMPUTED_VALUE"""),44929.66666666667)</f>
        <v>44929.66667</v>
      </c>
      <c r="D447" s="1">
        <f>IFERROR(__xludf.DUMMYFUNCTION("""COMPUTED_VALUE"""),239.58)</f>
        <v>239.58</v>
      </c>
      <c r="E447" s="4">
        <f>IFERROR(__xludf.DUMMYFUNCTION("""COMPUTED_VALUE"""),44929.66666666667)</f>
        <v>44929.66667</v>
      </c>
      <c r="F447" s="1">
        <f>IFERROR(__xludf.DUMMYFUNCTION("""COMPUTED_VALUE"""),106.51)</f>
        <v>106.51</v>
      </c>
      <c r="G447" s="4">
        <f>IFERROR(__xludf.DUMMYFUNCTION("""COMPUTED_VALUE"""),44929.66666666667)</f>
        <v>44929.66667</v>
      </c>
      <c r="H447" s="1">
        <f>IFERROR(__xludf.DUMMYFUNCTION("""COMPUTED_VALUE"""),173.99)</f>
        <v>173.99</v>
      </c>
      <c r="I447" s="5">
        <f t="shared" si="1"/>
        <v>0.01031422403</v>
      </c>
      <c r="K447" s="5">
        <f t="shared" si="2"/>
        <v>-0.0437432173</v>
      </c>
      <c r="L447" s="5">
        <f t="shared" si="3"/>
        <v>0.002910524833</v>
      </c>
      <c r="M447" s="5">
        <f t="shared" si="4"/>
        <v>-0.01063279499</v>
      </c>
      <c r="Q447" s="5"/>
    </row>
    <row r="448">
      <c r="A448" s="4">
        <f>IFERROR(__xludf.DUMMYFUNCTION("""COMPUTED_VALUE"""),44930.66666666667)</f>
        <v>44930.66667</v>
      </c>
      <c r="B448" s="1">
        <f>IFERROR(__xludf.DUMMYFUNCTION("""COMPUTED_VALUE"""),126.36)</f>
        <v>126.36</v>
      </c>
      <c r="C448" s="4">
        <f>IFERROR(__xludf.DUMMYFUNCTION("""COMPUTED_VALUE"""),44930.66666666667)</f>
        <v>44930.66667</v>
      </c>
      <c r="D448" s="1">
        <f>IFERROR(__xludf.DUMMYFUNCTION("""COMPUTED_VALUE"""),229.1)</f>
        <v>229.1</v>
      </c>
      <c r="E448" s="4">
        <f>IFERROR(__xludf.DUMMYFUNCTION("""COMPUTED_VALUE"""),44930.66666666667)</f>
        <v>44930.66667</v>
      </c>
      <c r="F448" s="1">
        <f>IFERROR(__xludf.DUMMYFUNCTION("""COMPUTED_VALUE"""),106.82)</f>
        <v>106.82</v>
      </c>
      <c r="G448" s="4">
        <f>IFERROR(__xludf.DUMMYFUNCTION("""COMPUTED_VALUE"""),44930.66666666667)</f>
        <v>44930.66667</v>
      </c>
      <c r="H448" s="1">
        <f>IFERROR(__xludf.DUMMYFUNCTION("""COMPUTED_VALUE"""),172.14)</f>
        <v>172.14</v>
      </c>
      <c r="I448" s="5">
        <f t="shared" si="1"/>
        <v>-0.01060462172</v>
      </c>
      <c r="K448" s="5">
        <f t="shared" si="2"/>
        <v>-0.02963771279</v>
      </c>
      <c r="L448" s="5">
        <f t="shared" si="3"/>
        <v>0.02237408725</v>
      </c>
      <c r="M448" s="5">
        <f t="shared" si="4"/>
        <v>0.01800859765</v>
      </c>
      <c r="Q448" s="5"/>
    </row>
    <row r="449">
      <c r="A449" s="4">
        <f>IFERROR(__xludf.DUMMYFUNCTION("""COMPUTED_VALUE"""),44931.66666666667)</f>
        <v>44931.66667</v>
      </c>
      <c r="B449" s="1">
        <f>IFERROR(__xludf.DUMMYFUNCTION("""COMPUTED_VALUE"""),125.02)</f>
        <v>125.02</v>
      </c>
      <c r="C449" s="4">
        <f>IFERROR(__xludf.DUMMYFUNCTION("""COMPUTED_VALUE"""),44931.66666666667)</f>
        <v>44931.66667</v>
      </c>
      <c r="D449" s="1">
        <f>IFERROR(__xludf.DUMMYFUNCTION("""COMPUTED_VALUE"""),222.31)</f>
        <v>222.31</v>
      </c>
      <c r="E449" s="4">
        <f>IFERROR(__xludf.DUMMYFUNCTION("""COMPUTED_VALUE"""),44931.66666666667)</f>
        <v>44931.66667</v>
      </c>
      <c r="F449" s="1">
        <f>IFERROR(__xludf.DUMMYFUNCTION("""COMPUTED_VALUE"""),109.21)</f>
        <v>109.21</v>
      </c>
      <c r="G449" s="4">
        <f>IFERROR(__xludf.DUMMYFUNCTION("""COMPUTED_VALUE"""),44931.66666666667)</f>
        <v>44931.66667</v>
      </c>
      <c r="H449" s="1">
        <f>IFERROR(__xludf.DUMMYFUNCTION("""COMPUTED_VALUE"""),175.24)</f>
        <v>175.24</v>
      </c>
      <c r="I449" s="5">
        <f t="shared" si="1"/>
        <v>0.03679411294</v>
      </c>
      <c r="K449" s="5">
        <f t="shared" si="2"/>
        <v>0.01178534479</v>
      </c>
      <c r="L449" s="5">
        <f t="shared" si="3"/>
        <v>0.01208680524</v>
      </c>
      <c r="M449" s="5">
        <f t="shared" si="4"/>
        <v>0.00753252682</v>
      </c>
      <c r="Q449" s="5"/>
    </row>
    <row r="450">
      <c r="A450" s="4">
        <f>IFERROR(__xludf.DUMMYFUNCTION("""COMPUTED_VALUE"""),44932.66666666667)</f>
        <v>44932.66667</v>
      </c>
      <c r="B450" s="1">
        <f>IFERROR(__xludf.DUMMYFUNCTION("""COMPUTED_VALUE"""),129.62)</f>
        <v>129.62</v>
      </c>
      <c r="C450" s="4">
        <f>IFERROR(__xludf.DUMMYFUNCTION("""COMPUTED_VALUE"""),44932.66666666667)</f>
        <v>44932.66667</v>
      </c>
      <c r="D450" s="1">
        <f>IFERROR(__xludf.DUMMYFUNCTION("""COMPUTED_VALUE"""),224.93)</f>
        <v>224.93</v>
      </c>
      <c r="E450" s="4">
        <f>IFERROR(__xludf.DUMMYFUNCTION("""COMPUTED_VALUE"""),44932.66666666667)</f>
        <v>44932.66667</v>
      </c>
      <c r="F450" s="1">
        <f>IFERROR(__xludf.DUMMYFUNCTION("""COMPUTED_VALUE"""),110.53)</f>
        <v>110.53</v>
      </c>
      <c r="G450" s="4">
        <f>IFERROR(__xludf.DUMMYFUNCTION("""COMPUTED_VALUE"""),44932.66666666667)</f>
        <v>44932.66667</v>
      </c>
      <c r="H450" s="1">
        <f>IFERROR(__xludf.DUMMYFUNCTION("""COMPUTED_VALUE"""),176.56)</f>
        <v>176.56</v>
      </c>
      <c r="I450" s="5">
        <f t="shared" si="1"/>
        <v>0.004088875174</v>
      </c>
      <c r="K450" s="5">
        <f t="shared" si="2"/>
        <v>0.009736362424</v>
      </c>
      <c r="L450" s="5">
        <f t="shared" si="3"/>
        <v>-0.01863747399</v>
      </c>
      <c r="M450" s="5">
        <f t="shared" si="4"/>
        <v>-0.007816039873</v>
      </c>
      <c r="Q450" s="5"/>
    </row>
    <row r="451">
      <c r="A451" s="4">
        <f>IFERROR(__xludf.DUMMYFUNCTION("""COMPUTED_VALUE"""),44935.66666666667)</f>
        <v>44935.66667</v>
      </c>
      <c r="B451" s="1">
        <f>IFERROR(__xludf.DUMMYFUNCTION("""COMPUTED_VALUE"""),130.15)</f>
        <v>130.15</v>
      </c>
      <c r="C451" s="4">
        <f>IFERROR(__xludf.DUMMYFUNCTION("""COMPUTED_VALUE"""),44935.66666666667)</f>
        <v>44935.66667</v>
      </c>
      <c r="D451" s="1">
        <f>IFERROR(__xludf.DUMMYFUNCTION("""COMPUTED_VALUE"""),227.12)</f>
        <v>227.12</v>
      </c>
      <c r="E451" s="4">
        <f>IFERROR(__xludf.DUMMYFUNCTION("""COMPUTED_VALUE"""),44935.66666666667)</f>
        <v>44935.66667</v>
      </c>
      <c r="F451" s="1">
        <f>IFERROR(__xludf.DUMMYFUNCTION("""COMPUTED_VALUE"""),108.47)</f>
        <v>108.47</v>
      </c>
      <c r="G451" s="4">
        <f>IFERROR(__xludf.DUMMYFUNCTION("""COMPUTED_VALUE"""),44935.66666666667)</f>
        <v>44935.66667</v>
      </c>
      <c r="H451" s="1">
        <f>IFERROR(__xludf.DUMMYFUNCTION("""COMPUTED_VALUE"""),175.18)</f>
        <v>175.18</v>
      </c>
      <c r="I451" s="5">
        <f t="shared" si="1"/>
        <v>0.004456396466</v>
      </c>
      <c r="K451" s="5">
        <f t="shared" si="2"/>
        <v>0.007617118704</v>
      </c>
      <c r="L451" s="5">
        <f t="shared" si="3"/>
        <v>0.01493500507</v>
      </c>
      <c r="M451" s="5">
        <f t="shared" si="4"/>
        <v>0.004909236214</v>
      </c>
      <c r="Q451" s="5"/>
    </row>
    <row r="452">
      <c r="A452" s="4">
        <f>IFERROR(__xludf.DUMMYFUNCTION("""COMPUTED_VALUE"""),44936.66666666667)</f>
        <v>44936.66667</v>
      </c>
      <c r="B452" s="1">
        <f>IFERROR(__xludf.DUMMYFUNCTION("""COMPUTED_VALUE"""),130.73)</f>
        <v>130.73</v>
      </c>
      <c r="C452" s="4">
        <f>IFERROR(__xludf.DUMMYFUNCTION("""COMPUTED_VALUE"""),44936.66666666667)</f>
        <v>44936.66667</v>
      </c>
      <c r="D452" s="1">
        <f>IFERROR(__xludf.DUMMYFUNCTION("""COMPUTED_VALUE"""),228.85)</f>
        <v>228.85</v>
      </c>
      <c r="E452" s="4">
        <f>IFERROR(__xludf.DUMMYFUNCTION("""COMPUTED_VALUE"""),44936.66666666667)</f>
        <v>44936.66667</v>
      </c>
      <c r="F452" s="1">
        <f>IFERROR(__xludf.DUMMYFUNCTION("""COMPUTED_VALUE"""),110.09)</f>
        <v>110.09</v>
      </c>
      <c r="G452" s="4">
        <f>IFERROR(__xludf.DUMMYFUNCTION("""COMPUTED_VALUE"""),44936.66666666667)</f>
        <v>44936.66667</v>
      </c>
      <c r="H452" s="1">
        <f>IFERROR(__xludf.DUMMYFUNCTION("""COMPUTED_VALUE"""),176.04)</f>
        <v>176.04</v>
      </c>
      <c r="I452" s="5">
        <f t="shared" si="1"/>
        <v>0.02111221602</v>
      </c>
      <c r="K452" s="5">
        <f t="shared" si="2"/>
        <v>0.03023814726</v>
      </c>
      <c r="L452" s="5">
        <f t="shared" si="3"/>
        <v>0.01162685076</v>
      </c>
      <c r="M452" s="5">
        <f t="shared" si="4"/>
        <v>-0.004771642808</v>
      </c>
      <c r="Q452" s="5"/>
    </row>
    <row r="453">
      <c r="A453" s="4">
        <f>IFERROR(__xludf.DUMMYFUNCTION("""COMPUTED_VALUE"""),44937.66666666667)</f>
        <v>44937.66667</v>
      </c>
      <c r="B453" s="1">
        <f>IFERROR(__xludf.DUMMYFUNCTION("""COMPUTED_VALUE"""),133.49)</f>
        <v>133.49</v>
      </c>
      <c r="C453" s="4">
        <f>IFERROR(__xludf.DUMMYFUNCTION("""COMPUTED_VALUE"""),44937.66666666667)</f>
        <v>44937.66667</v>
      </c>
      <c r="D453" s="1">
        <f>IFERROR(__xludf.DUMMYFUNCTION("""COMPUTED_VALUE"""),235.77)</f>
        <v>235.77</v>
      </c>
      <c r="E453" s="4">
        <f>IFERROR(__xludf.DUMMYFUNCTION("""COMPUTED_VALUE"""),44937.66666666667)</f>
        <v>44937.66667</v>
      </c>
      <c r="F453" s="1">
        <f>IFERROR(__xludf.DUMMYFUNCTION("""COMPUTED_VALUE"""),111.37)</f>
        <v>111.37</v>
      </c>
      <c r="G453" s="4">
        <f>IFERROR(__xludf.DUMMYFUNCTION("""COMPUTED_VALUE"""),44937.66666666667)</f>
        <v>44937.66667</v>
      </c>
      <c r="H453" s="1">
        <f>IFERROR(__xludf.DUMMYFUNCTION("""COMPUTED_VALUE"""),175.2)</f>
        <v>175.2</v>
      </c>
      <c r="I453" s="5">
        <f t="shared" si="1"/>
        <v>-0.0005992958274</v>
      </c>
      <c r="K453" s="5">
        <f t="shared" si="2"/>
        <v>0.01162149553</v>
      </c>
      <c r="L453" s="5">
        <f t="shared" si="3"/>
        <v>0.01661129568</v>
      </c>
      <c r="M453" s="5">
        <f t="shared" si="4"/>
        <v>0.01073059361</v>
      </c>
      <c r="Q453" s="5"/>
    </row>
    <row r="454">
      <c r="A454" s="4">
        <f>IFERROR(__xludf.DUMMYFUNCTION("""COMPUTED_VALUE"""),44938.66666666667)</f>
        <v>44938.66667</v>
      </c>
      <c r="B454" s="1">
        <f>IFERROR(__xludf.DUMMYFUNCTION("""COMPUTED_VALUE"""),133.41)</f>
        <v>133.41</v>
      </c>
      <c r="C454" s="4">
        <f>IFERROR(__xludf.DUMMYFUNCTION("""COMPUTED_VALUE"""),44938.66666666667)</f>
        <v>44938.66667</v>
      </c>
      <c r="D454" s="1">
        <f>IFERROR(__xludf.DUMMYFUNCTION("""COMPUTED_VALUE"""),238.51)</f>
        <v>238.51</v>
      </c>
      <c r="E454" s="4">
        <f>IFERROR(__xludf.DUMMYFUNCTION("""COMPUTED_VALUE"""),44938.66666666667)</f>
        <v>44938.66667</v>
      </c>
      <c r="F454" s="1">
        <f>IFERROR(__xludf.DUMMYFUNCTION("""COMPUTED_VALUE"""),113.22)</f>
        <v>113.22</v>
      </c>
      <c r="G454" s="4">
        <f>IFERROR(__xludf.DUMMYFUNCTION("""COMPUTED_VALUE"""),44938.66666666667)</f>
        <v>44938.66667</v>
      </c>
      <c r="H454" s="1">
        <f>IFERROR(__xludf.DUMMYFUNCTION("""COMPUTED_VALUE"""),177.08)</f>
        <v>177.08</v>
      </c>
      <c r="I454" s="5">
        <f t="shared" si="1"/>
        <v>0.01011918147</v>
      </c>
      <c r="K454" s="5">
        <f t="shared" si="2"/>
        <v>0.003018741353</v>
      </c>
      <c r="L454" s="5">
        <f t="shared" si="3"/>
        <v>-0.0006182653241</v>
      </c>
      <c r="M454" s="5">
        <f t="shared" si="4"/>
        <v>0.002710639259</v>
      </c>
      <c r="Q454" s="5"/>
    </row>
    <row r="455">
      <c r="A455" s="4">
        <f>IFERROR(__xludf.DUMMYFUNCTION("""COMPUTED_VALUE"""),44939.66666666667)</f>
        <v>44939.66667</v>
      </c>
      <c r="B455" s="1">
        <f>IFERROR(__xludf.DUMMYFUNCTION("""COMPUTED_VALUE"""),134.76)</f>
        <v>134.76</v>
      </c>
      <c r="C455" s="4">
        <f>IFERROR(__xludf.DUMMYFUNCTION("""COMPUTED_VALUE"""),44939.66666666667)</f>
        <v>44939.66667</v>
      </c>
      <c r="D455" s="1">
        <f>IFERROR(__xludf.DUMMYFUNCTION("""COMPUTED_VALUE"""),239.23)</f>
        <v>239.23</v>
      </c>
      <c r="E455" s="4">
        <f>IFERROR(__xludf.DUMMYFUNCTION("""COMPUTED_VALUE"""),44939.66666666667)</f>
        <v>44939.66667</v>
      </c>
      <c r="F455" s="1">
        <f>IFERROR(__xludf.DUMMYFUNCTION("""COMPUTED_VALUE"""),113.15)</f>
        <v>113.15</v>
      </c>
      <c r="G455" s="4">
        <f>IFERROR(__xludf.DUMMYFUNCTION("""COMPUTED_VALUE"""),44939.66666666667)</f>
        <v>44939.66667</v>
      </c>
      <c r="H455" s="1">
        <f>IFERROR(__xludf.DUMMYFUNCTION("""COMPUTED_VALUE"""),177.56)</f>
        <v>177.56</v>
      </c>
      <c r="I455" s="5">
        <f t="shared" si="1"/>
        <v>0.00875630751</v>
      </c>
      <c r="K455" s="5">
        <f t="shared" si="2"/>
        <v>0.004681687079</v>
      </c>
      <c r="L455" s="5">
        <f t="shared" si="3"/>
        <v>-0.001944321697</v>
      </c>
      <c r="M455" s="5">
        <f t="shared" si="4"/>
        <v>0.01650146429</v>
      </c>
      <c r="Q455" s="5"/>
    </row>
    <row r="456">
      <c r="A456" s="4">
        <f>IFERROR(__xludf.DUMMYFUNCTION("""COMPUTED_VALUE"""),44943.66666666667)</f>
        <v>44943.66667</v>
      </c>
      <c r="B456" s="1">
        <f>IFERROR(__xludf.DUMMYFUNCTION("""COMPUTED_VALUE"""),135.94)</f>
        <v>135.94</v>
      </c>
      <c r="C456" s="4">
        <f>IFERROR(__xludf.DUMMYFUNCTION("""COMPUTED_VALUE"""),44943.66666666667)</f>
        <v>44943.66667</v>
      </c>
      <c r="D456" s="1">
        <f>IFERROR(__xludf.DUMMYFUNCTION("""COMPUTED_VALUE"""),240.35)</f>
        <v>240.35</v>
      </c>
      <c r="E456" s="4">
        <f>IFERROR(__xludf.DUMMYFUNCTION("""COMPUTED_VALUE"""),44943.66666666667)</f>
        <v>44943.66667</v>
      </c>
      <c r="F456" s="1">
        <f>IFERROR(__xludf.DUMMYFUNCTION("""COMPUTED_VALUE"""),112.93)</f>
        <v>112.93</v>
      </c>
      <c r="G456" s="4">
        <f>IFERROR(__xludf.DUMMYFUNCTION("""COMPUTED_VALUE"""),44943.66666666667)</f>
        <v>44943.66667</v>
      </c>
      <c r="H456" s="1">
        <f>IFERROR(__xludf.DUMMYFUNCTION("""COMPUTED_VALUE"""),180.49)</f>
        <v>180.49</v>
      </c>
      <c r="I456" s="5">
        <f t="shared" si="1"/>
        <v>-0.005370016184</v>
      </c>
      <c r="K456" s="5">
        <f t="shared" si="2"/>
        <v>-0.01888912003</v>
      </c>
      <c r="L456" s="5">
        <f t="shared" si="3"/>
        <v>-0.02054369964</v>
      </c>
      <c r="M456" s="5">
        <f t="shared" si="4"/>
        <v>-0.01806194249</v>
      </c>
      <c r="Q456" s="5"/>
    </row>
    <row r="457">
      <c r="A457" s="4">
        <f>IFERROR(__xludf.DUMMYFUNCTION("""COMPUTED_VALUE"""),44944.66666666667)</f>
        <v>44944.66667</v>
      </c>
      <c r="B457" s="1">
        <f>IFERROR(__xludf.DUMMYFUNCTION("""COMPUTED_VALUE"""),135.21)</f>
        <v>135.21</v>
      </c>
      <c r="C457" s="4">
        <f>IFERROR(__xludf.DUMMYFUNCTION("""COMPUTED_VALUE"""),44944.66666666667)</f>
        <v>44944.66667</v>
      </c>
      <c r="D457" s="1">
        <f>IFERROR(__xludf.DUMMYFUNCTION("""COMPUTED_VALUE"""),235.81)</f>
        <v>235.81</v>
      </c>
      <c r="E457" s="4">
        <f>IFERROR(__xludf.DUMMYFUNCTION("""COMPUTED_VALUE"""),44944.66666666667)</f>
        <v>44944.66667</v>
      </c>
      <c r="F457" s="1">
        <f>IFERROR(__xludf.DUMMYFUNCTION("""COMPUTED_VALUE"""),110.61)</f>
        <v>110.61</v>
      </c>
      <c r="G457" s="4">
        <f>IFERROR(__xludf.DUMMYFUNCTION("""COMPUTED_VALUE"""),44944.66666666667)</f>
        <v>44944.66667</v>
      </c>
      <c r="H457" s="1">
        <f>IFERROR(__xludf.DUMMYFUNCTION("""COMPUTED_VALUE"""),177.23)</f>
        <v>177.23</v>
      </c>
      <c r="I457" s="5">
        <f t="shared" si="1"/>
        <v>0.0004437541602</v>
      </c>
      <c r="K457" s="5">
        <f t="shared" si="2"/>
        <v>-0.01645392477</v>
      </c>
      <c r="L457" s="5">
        <f t="shared" si="3"/>
        <v>0.006418949462</v>
      </c>
      <c r="M457" s="5">
        <f t="shared" si="4"/>
        <v>0.009987022513</v>
      </c>
      <c r="Q457" s="5"/>
    </row>
    <row r="458">
      <c r="A458" s="4">
        <f>IFERROR(__xludf.DUMMYFUNCTION("""COMPUTED_VALUE"""),44945.66666666667)</f>
        <v>44945.66667</v>
      </c>
      <c r="B458" s="1">
        <f>IFERROR(__xludf.DUMMYFUNCTION("""COMPUTED_VALUE"""),135.27)</f>
        <v>135.27</v>
      </c>
      <c r="C458" s="4">
        <f>IFERROR(__xludf.DUMMYFUNCTION("""COMPUTED_VALUE"""),44945.66666666667)</f>
        <v>44945.66667</v>
      </c>
      <c r="D458" s="1">
        <f>IFERROR(__xludf.DUMMYFUNCTION("""COMPUTED_VALUE"""),231.93)</f>
        <v>231.93</v>
      </c>
      <c r="E458" s="4">
        <f>IFERROR(__xludf.DUMMYFUNCTION("""COMPUTED_VALUE"""),44945.66666666667)</f>
        <v>44945.66667</v>
      </c>
      <c r="F458" s="1">
        <f>IFERROR(__xludf.DUMMYFUNCTION("""COMPUTED_VALUE"""),111.32)</f>
        <v>111.32</v>
      </c>
      <c r="G458" s="4">
        <f>IFERROR(__xludf.DUMMYFUNCTION("""COMPUTED_VALUE"""),44945.66666666667)</f>
        <v>44945.66667</v>
      </c>
      <c r="H458" s="1">
        <f>IFERROR(__xludf.DUMMYFUNCTION("""COMPUTED_VALUE"""),179.0)</f>
        <v>179</v>
      </c>
      <c r="I458" s="5">
        <f t="shared" si="1"/>
        <v>0.01922081762</v>
      </c>
      <c r="K458" s="5">
        <f t="shared" si="2"/>
        <v>0.03574354331</v>
      </c>
      <c r="L458" s="5">
        <f t="shared" si="3"/>
        <v>0.01823571685</v>
      </c>
      <c r="M458" s="5">
        <f t="shared" si="4"/>
        <v>0.01061452514</v>
      </c>
      <c r="Q458" s="5"/>
    </row>
    <row r="459">
      <c r="A459" s="4">
        <f>IFERROR(__xludf.DUMMYFUNCTION("""COMPUTED_VALUE"""),44946.66666666667)</f>
        <v>44946.66667</v>
      </c>
      <c r="B459" s="1">
        <f>IFERROR(__xludf.DUMMYFUNCTION("""COMPUTED_VALUE"""),137.87)</f>
        <v>137.87</v>
      </c>
      <c r="C459" s="4">
        <f>IFERROR(__xludf.DUMMYFUNCTION("""COMPUTED_VALUE"""),44946.66666666667)</f>
        <v>44946.66667</v>
      </c>
      <c r="D459" s="1">
        <f>IFERROR(__xludf.DUMMYFUNCTION("""COMPUTED_VALUE"""),240.22)</f>
        <v>240.22</v>
      </c>
      <c r="E459" s="4">
        <f>IFERROR(__xludf.DUMMYFUNCTION("""COMPUTED_VALUE"""),44946.66666666667)</f>
        <v>44946.66667</v>
      </c>
      <c r="F459" s="1">
        <f>IFERROR(__xludf.DUMMYFUNCTION("""COMPUTED_VALUE"""),113.35)</f>
        <v>113.35</v>
      </c>
      <c r="G459" s="4">
        <f>IFERROR(__xludf.DUMMYFUNCTION("""COMPUTED_VALUE"""),44946.66666666667)</f>
        <v>44946.66667</v>
      </c>
      <c r="H459" s="1">
        <f>IFERROR(__xludf.DUMMYFUNCTION("""COMPUTED_VALUE"""),180.9)</f>
        <v>180.9</v>
      </c>
      <c r="I459" s="5">
        <f t="shared" si="1"/>
        <v>0.02350039893</v>
      </c>
      <c r="K459" s="5">
        <f t="shared" si="2"/>
        <v>0.0098243277</v>
      </c>
      <c r="L459" s="5">
        <f t="shared" si="3"/>
        <v>-0.005205116895</v>
      </c>
      <c r="M459" s="5">
        <f t="shared" si="4"/>
        <v>-0.001326699834</v>
      </c>
      <c r="Q459" s="5"/>
    </row>
    <row r="460">
      <c r="A460" s="4">
        <f>IFERROR(__xludf.DUMMYFUNCTION("""COMPUTED_VALUE"""),44949.66666666667)</f>
        <v>44949.66667</v>
      </c>
      <c r="B460" s="1">
        <f>IFERROR(__xludf.DUMMYFUNCTION("""COMPUTED_VALUE"""),141.11)</f>
        <v>141.11</v>
      </c>
      <c r="C460" s="4">
        <f>IFERROR(__xludf.DUMMYFUNCTION("""COMPUTED_VALUE"""),44949.66666666667)</f>
        <v>44949.66667</v>
      </c>
      <c r="D460" s="1">
        <f>IFERROR(__xludf.DUMMYFUNCTION("""COMPUTED_VALUE"""),242.58)</f>
        <v>242.58</v>
      </c>
      <c r="E460" s="4">
        <f>IFERROR(__xludf.DUMMYFUNCTION("""COMPUTED_VALUE"""),44949.66666666667)</f>
        <v>44949.66667</v>
      </c>
      <c r="F460" s="1">
        <f>IFERROR(__xludf.DUMMYFUNCTION("""COMPUTED_VALUE"""),112.76)</f>
        <v>112.76</v>
      </c>
      <c r="G460" s="4">
        <f>IFERROR(__xludf.DUMMYFUNCTION("""COMPUTED_VALUE"""),44949.66666666667)</f>
        <v>44949.66667</v>
      </c>
      <c r="H460" s="1">
        <f>IFERROR(__xludf.DUMMYFUNCTION("""COMPUTED_VALUE"""),180.66)</f>
        <v>180.66</v>
      </c>
      <c r="I460" s="5">
        <f t="shared" si="1"/>
        <v>0.01006307136</v>
      </c>
      <c r="K460" s="5">
        <f t="shared" si="2"/>
        <v>-0.00222606975</v>
      </c>
      <c r="L460" s="5">
        <f t="shared" si="3"/>
        <v>0.0093118127</v>
      </c>
      <c r="M460" s="5">
        <f t="shared" si="4"/>
        <v>0.0009409941326</v>
      </c>
      <c r="Q460" s="5"/>
    </row>
    <row r="461">
      <c r="A461" s="4">
        <f>IFERROR(__xludf.DUMMYFUNCTION("""COMPUTED_VALUE"""),44950.66666666667)</f>
        <v>44950.66667</v>
      </c>
      <c r="B461" s="1">
        <f>IFERROR(__xludf.DUMMYFUNCTION("""COMPUTED_VALUE"""),142.53)</f>
        <v>142.53</v>
      </c>
      <c r="C461" s="4">
        <f>IFERROR(__xludf.DUMMYFUNCTION("""COMPUTED_VALUE"""),44950.66666666667)</f>
        <v>44950.66667</v>
      </c>
      <c r="D461" s="1">
        <f>IFERROR(__xludf.DUMMYFUNCTION("""COMPUTED_VALUE"""),242.04)</f>
        <v>242.04</v>
      </c>
      <c r="E461" s="4">
        <f>IFERROR(__xludf.DUMMYFUNCTION("""COMPUTED_VALUE"""),44950.66666666667)</f>
        <v>44950.66667</v>
      </c>
      <c r="F461" s="1">
        <f>IFERROR(__xludf.DUMMYFUNCTION("""COMPUTED_VALUE"""),113.81)</f>
        <v>113.81</v>
      </c>
      <c r="G461" s="4">
        <f>IFERROR(__xludf.DUMMYFUNCTION("""COMPUTED_VALUE"""),44950.66666666667)</f>
        <v>44950.66667</v>
      </c>
      <c r="H461" s="1">
        <f>IFERROR(__xludf.DUMMYFUNCTION("""COMPUTED_VALUE"""),180.83)</f>
        <v>180.83</v>
      </c>
      <c r="I461" s="5">
        <f t="shared" si="1"/>
        <v>-0.004700764751</v>
      </c>
      <c r="K461" s="5">
        <f t="shared" si="2"/>
        <v>-0.005908114361</v>
      </c>
      <c r="L461" s="5">
        <f t="shared" si="3"/>
        <v>-0.005271944469</v>
      </c>
      <c r="M461" s="5">
        <f t="shared" si="4"/>
        <v>-0.009677597744</v>
      </c>
      <c r="Q461" s="5"/>
    </row>
    <row r="462">
      <c r="A462" s="4">
        <f>IFERROR(__xludf.DUMMYFUNCTION("""COMPUTED_VALUE"""),44951.66666666667)</f>
        <v>44951.66667</v>
      </c>
      <c r="B462" s="1">
        <f>IFERROR(__xludf.DUMMYFUNCTION("""COMPUTED_VALUE"""),141.86)</f>
        <v>141.86</v>
      </c>
      <c r="C462" s="4">
        <f>IFERROR(__xludf.DUMMYFUNCTION("""COMPUTED_VALUE"""),44951.66666666667)</f>
        <v>44951.66667</v>
      </c>
      <c r="D462" s="1">
        <f>IFERROR(__xludf.DUMMYFUNCTION("""COMPUTED_VALUE"""),240.61)</f>
        <v>240.61</v>
      </c>
      <c r="E462" s="4">
        <f>IFERROR(__xludf.DUMMYFUNCTION("""COMPUTED_VALUE"""),44951.66666666667)</f>
        <v>44951.66667</v>
      </c>
      <c r="F462" s="1">
        <f>IFERROR(__xludf.DUMMYFUNCTION("""COMPUTED_VALUE"""),113.21)</f>
        <v>113.21</v>
      </c>
      <c r="G462" s="4">
        <f>IFERROR(__xludf.DUMMYFUNCTION("""COMPUTED_VALUE"""),44951.66666666667)</f>
        <v>44951.66667</v>
      </c>
      <c r="H462" s="1">
        <f>IFERROR(__xludf.DUMMYFUNCTION("""COMPUTED_VALUE"""),179.08)</f>
        <v>179.08</v>
      </c>
      <c r="I462" s="5">
        <f t="shared" si="1"/>
        <v>0.01480332722</v>
      </c>
      <c r="K462" s="5">
        <f t="shared" si="2"/>
        <v>0.03071360293</v>
      </c>
      <c r="L462" s="5">
        <f t="shared" si="3"/>
        <v>0.04019079587</v>
      </c>
      <c r="M462" s="5">
        <f t="shared" si="4"/>
        <v>0.04863748046</v>
      </c>
      <c r="Q462" s="5"/>
    </row>
    <row r="463">
      <c r="A463" s="4">
        <f>IFERROR(__xludf.DUMMYFUNCTION("""COMPUTED_VALUE"""),44952.66666666667)</f>
        <v>44952.66667</v>
      </c>
      <c r="B463" s="1">
        <f>IFERROR(__xludf.DUMMYFUNCTION("""COMPUTED_VALUE"""),143.96)</f>
        <v>143.96</v>
      </c>
      <c r="C463" s="4">
        <f>IFERROR(__xludf.DUMMYFUNCTION("""COMPUTED_VALUE"""),44952.66666666667)</f>
        <v>44952.66667</v>
      </c>
      <c r="D463" s="1">
        <f>IFERROR(__xludf.DUMMYFUNCTION("""COMPUTED_VALUE"""),248.0)</f>
        <v>248</v>
      </c>
      <c r="E463" s="4">
        <f>IFERROR(__xludf.DUMMYFUNCTION("""COMPUTED_VALUE"""),44952.66666666667)</f>
        <v>44952.66667</v>
      </c>
      <c r="F463" s="1">
        <f>IFERROR(__xludf.DUMMYFUNCTION("""COMPUTED_VALUE"""),117.76)</f>
        <v>117.76</v>
      </c>
      <c r="G463" s="4">
        <f>IFERROR(__xludf.DUMMYFUNCTION("""COMPUTED_VALUE"""),44952.66666666667)</f>
        <v>44952.66667</v>
      </c>
      <c r="H463" s="1">
        <f>IFERROR(__xludf.DUMMYFUNCTION("""COMPUTED_VALUE"""),187.79)</f>
        <v>187.79</v>
      </c>
      <c r="I463" s="5">
        <f t="shared" si="1"/>
        <v>0.01368435677</v>
      </c>
      <c r="K463" s="5">
        <f t="shared" si="2"/>
        <v>0.0006451612903</v>
      </c>
      <c r="L463" s="5">
        <f t="shared" si="3"/>
        <v>-0.01825747283</v>
      </c>
      <c r="M463" s="5">
        <f t="shared" si="4"/>
        <v>-0.04441131051</v>
      </c>
      <c r="Q463" s="5"/>
    </row>
    <row r="464">
      <c r="A464" s="4">
        <f>IFERROR(__xludf.DUMMYFUNCTION("""COMPUTED_VALUE"""),44953.66666666667)</f>
        <v>44953.66667</v>
      </c>
      <c r="B464" s="1">
        <f>IFERROR(__xludf.DUMMYFUNCTION("""COMPUTED_VALUE"""),145.93)</f>
        <v>145.93</v>
      </c>
      <c r="C464" s="4">
        <f>IFERROR(__xludf.DUMMYFUNCTION("""COMPUTED_VALUE"""),44953.66666666667)</f>
        <v>44953.66667</v>
      </c>
      <c r="D464" s="1">
        <f>IFERROR(__xludf.DUMMYFUNCTION("""COMPUTED_VALUE"""),248.16)</f>
        <v>248.16</v>
      </c>
      <c r="E464" s="4">
        <f>IFERROR(__xludf.DUMMYFUNCTION("""COMPUTED_VALUE"""),44953.66666666667)</f>
        <v>44953.66667</v>
      </c>
      <c r="F464" s="1">
        <f>IFERROR(__xludf.DUMMYFUNCTION("""COMPUTED_VALUE"""),115.61)</f>
        <v>115.61</v>
      </c>
      <c r="G464" s="4">
        <f>IFERROR(__xludf.DUMMYFUNCTION("""COMPUTED_VALUE"""),44953.66666666667)</f>
        <v>44953.66667</v>
      </c>
      <c r="H464" s="1">
        <f>IFERROR(__xludf.DUMMYFUNCTION("""COMPUTED_VALUE"""),179.45)</f>
        <v>179.45</v>
      </c>
      <c r="I464" s="5">
        <f t="shared" si="1"/>
        <v>-0.02007811965</v>
      </c>
      <c r="K464" s="5">
        <f t="shared" si="2"/>
        <v>-0.02196163765</v>
      </c>
      <c r="L464" s="5">
        <f t="shared" si="3"/>
        <v>-0.0177320301</v>
      </c>
      <c r="M464" s="5">
        <f t="shared" si="4"/>
        <v>-0.02925606018</v>
      </c>
      <c r="Q464" s="5"/>
    </row>
    <row r="465">
      <c r="A465" s="4">
        <f>IFERROR(__xludf.DUMMYFUNCTION("""COMPUTED_VALUE"""),44956.66666666667)</f>
        <v>44956.66667</v>
      </c>
      <c r="B465" s="1">
        <f>IFERROR(__xludf.DUMMYFUNCTION("""COMPUTED_VALUE"""),143.0)</f>
        <v>143</v>
      </c>
      <c r="C465" s="4">
        <f>IFERROR(__xludf.DUMMYFUNCTION("""COMPUTED_VALUE"""),44956.66666666667)</f>
        <v>44956.66667</v>
      </c>
      <c r="D465" s="1">
        <f>IFERROR(__xludf.DUMMYFUNCTION("""COMPUTED_VALUE"""),242.71)</f>
        <v>242.71</v>
      </c>
      <c r="E465" s="4">
        <f>IFERROR(__xludf.DUMMYFUNCTION("""COMPUTED_VALUE"""),44956.66666666667)</f>
        <v>44956.66667</v>
      </c>
      <c r="F465" s="1">
        <f>IFERROR(__xludf.DUMMYFUNCTION("""COMPUTED_VALUE"""),113.56)</f>
        <v>113.56</v>
      </c>
      <c r="G465" s="4">
        <f>IFERROR(__xludf.DUMMYFUNCTION("""COMPUTED_VALUE"""),44956.66666666667)</f>
        <v>44956.66667</v>
      </c>
      <c r="H465" s="1">
        <f>IFERROR(__xludf.DUMMYFUNCTION("""COMPUTED_VALUE"""),174.2)</f>
        <v>174.2</v>
      </c>
      <c r="I465" s="5">
        <f t="shared" si="1"/>
        <v>0.009020979021</v>
      </c>
      <c r="K465" s="5">
        <f t="shared" si="2"/>
        <v>0.02101273124</v>
      </c>
      <c r="L465" s="5">
        <f t="shared" si="3"/>
        <v>0.02157449806</v>
      </c>
      <c r="M465" s="5">
        <f t="shared" si="4"/>
        <v>-0.001033295063</v>
      </c>
      <c r="Q465" s="5"/>
    </row>
    <row r="466">
      <c r="A466" s="4">
        <f>IFERROR(__xludf.DUMMYFUNCTION("""COMPUTED_VALUE"""),44957.66666666667)</f>
        <v>44957.66667</v>
      </c>
      <c r="B466" s="1">
        <f>IFERROR(__xludf.DUMMYFUNCTION("""COMPUTED_VALUE"""),144.29)</f>
        <v>144.29</v>
      </c>
      <c r="C466" s="4">
        <f>IFERROR(__xludf.DUMMYFUNCTION("""COMPUTED_VALUE"""),44957.66666666667)</f>
        <v>44957.66667</v>
      </c>
      <c r="D466" s="1">
        <f>IFERROR(__xludf.DUMMYFUNCTION("""COMPUTED_VALUE"""),247.81)</f>
        <v>247.81</v>
      </c>
      <c r="E466" s="4">
        <f>IFERROR(__xludf.DUMMYFUNCTION("""COMPUTED_VALUE"""),44957.66666666667)</f>
        <v>44957.66667</v>
      </c>
      <c r="F466" s="1">
        <f>IFERROR(__xludf.DUMMYFUNCTION("""COMPUTED_VALUE"""),116.01)</f>
        <v>116.01</v>
      </c>
      <c r="G466" s="4">
        <f>IFERROR(__xludf.DUMMYFUNCTION("""COMPUTED_VALUE"""),44957.66666666667)</f>
        <v>44957.66667</v>
      </c>
      <c r="H466" s="1">
        <f>IFERROR(__xludf.DUMMYFUNCTION("""COMPUTED_VALUE"""),174.02)</f>
        <v>174.02</v>
      </c>
      <c r="I466" s="5">
        <f t="shared" si="1"/>
        <v>0.007900755423</v>
      </c>
      <c r="K466" s="5">
        <f t="shared" si="2"/>
        <v>0.01993462734</v>
      </c>
      <c r="L466" s="5">
        <f t="shared" si="3"/>
        <v>-0.01094733213</v>
      </c>
      <c r="M466" s="5">
        <f t="shared" si="4"/>
        <v>-0.01528559936</v>
      </c>
      <c r="Q466" s="5"/>
    </row>
    <row r="467">
      <c r="A467" s="4">
        <f>IFERROR(__xludf.DUMMYFUNCTION("""COMPUTED_VALUE"""),44958.66666666667)</f>
        <v>44958.66667</v>
      </c>
      <c r="B467" s="1">
        <f>IFERROR(__xludf.DUMMYFUNCTION("""COMPUTED_VALUE"""),145.43)</f>
        <v>145.43</v>
      </c>
      <c r="C467" s="4">
        <f>IFERROR(__xludf.DUMMYFUNCTION("""COMPUTED_VALUE"""),44958.66666666667)</f>
        <v>44958.66667</v>
      </c>
      <c r="D467" s="1">
        <f>IFERROR(__xludf.DUMMYFUNCTION("""COMPUTED_VALUE"""),252.75)</f>
        <v>252.75</v>
      </c>
      <c r="E467" s="4">
        <f>IFERROR(__xludf.DUMMYFUNCTION("""COMPUTED_VALUE"""),44958.66666666667)</f>
        <v>44958.66667</v>
      </c>
      <c r="F467" s="1">
        <f>IFERROR(__xludf.DUMMYFUNCTION("""COMPUTED_VALUE"""),114.74)</f>
        <v>114.74</v>
      </c>
      <c r="G467" s="4">
        <f>IFERROR(__xludf.DUMMYFUNCTION("""COMPUTED_VALUE"""),44958.66666666667)</f>
        <v>44958.66667</v>
      </c>
      <c r="H467" s="1">
        <f>IFERROR(__xludf.DUMMYFUNCTION("""COMPUTED_VALUE"""),171.36)</f>
        <v>171.36</v>
      </c>
      <c r="I467" s="5">
        <f t="shared" si="1"/>
        <v>0.0370625043</v>
      </c>
      <c r="K467" s="5">
        <f t="shared" si="2"/>
        <v>0.046884273</v>
      </c>
      <c r="L467" s="5">
        <f t="shared" si="3"/>
        <v>-0.03128812968</v>
      </c>
      <c r="M467" s="5">
        <f t="shared" si="4"/>
        <v>-0.01371381886</v>
      </c>
      <c r="Q467" s="5"/>
    </row>
    <row r="468">
      <c r="A468" s="4">
        <f>IFERROR(__xludf.DUMMYFUNCTION("""COMPUTED_VALUE"""),44959.66666666667)</f>
        <v>44959.66667</v>
      </c>
      <c r="B468" s="1">
        <f>IFERROR(__xludf.DUMMYFUNCTION("""COMPUTED_VALUE"""),150.82)</f>
        <v>150.82</v>
      </c>
      <c r="C468" s="4">
        <f>IFERROR(__xludf.DUMMYFUNCTION("""COMPUTED_VALUE"""),44959.66666666667)</f>
        <v>44959.66667</v>
      </c>
      <c r="D468" s="1">
        <f>IFERROR(__xludf.DUMMYFUNCTION("""COMPUTED_VALUE"""),264.6)</f>
        <v>264.6</v>
      </c>
      <c r="E468" s="4">
        <f>IFERROR(__xludf.DUMMYFUNCTION("""COMPUTED_VALUE"""),44959.66666666667)</f>
        <v>44959.66667</v>
      </c>
      <c r="F468" s="1">
        <f>IFERROR(__xludf.DUMMYFUNCTION("""COMPUTED_VALUE"""),111.15)</f>
        <v>111.15</v>
      </c>
      <c r="G468" s="4">
        <f>IFERROR(__xludf.DUMMYFUNCTION("""COMPUTED_VALUE"""),44959.66666666667)</f>
        <v>44959.66667</v>
      </c>
      <c r="H468" s="1">
        <f>IFERROR(__xludf.DUMMYFUNCTION("""COMPUTED_VALUE"""),169.01)</f>
        <v>169.01</v>
      </c>
      <c r="I468" s="5">
        <f t="shared" si="1"/>
        <v>0.02439994696</v>
      </c>
      <c r="K468" s="5">
        <f t="shared" si="2"/>
        <v>-0.02362055933</v>
      </c>
      <c r="L468" s="5">
        <f t="shared" si="3"/>
        <v>0.006927575349</v>
      </c>
      <c r="M468" s="5">
        <f t="shared" si="4"/>
        <v>0.002603396249</v>
      </c>
      <c r="Q468" s="5"/>
    </row>
    <row r="469">
      <c r="A469" s="4">
        <f>IFERROR(__xludf.DUMMYFUNCTION("""COMPUTED_VALUE"""),44960.66666666667)</f>
        <v>44960.66667</v>
      </c>
      <c r="B469" s="1">
        <f>IFERROR(__xludf.DUMMYFUNCTION("""COMPUTED_VALUE"""),154.5)</f>
        <v>154.5</v>
      </c>
      <c r="C469" s="4">
        <f>IFERROR(__xludf.DUMMYFUNCTION("""COMPUTED_VALUE"""),44960.66666666667)</f>
        <v>44960.66667</v>
      </c>
      <c r="D469" s="1">
        <f>IFERROR(__xludf.DUMMYFUNCTION("""COMPUTED_VALUE"""),258.35)</f>
        <v>258.35</v>
      </c>
      <c r="E469" s="4">
        <f>IFERROR(__xludf.DUMMYFUNCTION("""COMPUTED_VALUE"""),44960.66666666667)</f>
        <v>44960.66667</v>
      </c>
      <c r="F469" s="1">
        <f>IFERROR(__xludf.DUMMYFUNCTION("""COMPUTED_VALUE"""),111.92)</f>
        <v>111.92</v>
      </c>
      <c r="G469" s="4">
        <f>IFERROR(__xludf.DUMMYFUNCTION("""COMPUTED_VALUE"""),44960.66666666667)</f>
        <v>44960.66667</v>
      </c>
      <c r="H469" s="1">
        <f>IFERROR(__xludf.DUMMYFUNCTION("""COMPUTED_VALUE"""),169.45)</f>
        <v>169.45</v>
      </c>
      <c r="I469" s="5">
        <f t="shared" si="1"/>
        <v>-0.01792880259</v>
      </c>
      <c r="K469" s="5">
        <f t="shared" si="2"/>
        <v>-0.006115734469</v>
      </c>
      <c r="L469" s="5">
        <f t="shared" si="3"/>
        <v>-0.001697641172</v>
      </c>
      <c r="M469" s="5">
        <f t="shared" si="4"/>
        <v>0.001121274712</v>
      </c>
      <c r="Q469" s="5"/>
    </row>
    <row r="470">
      <c r="A470" s="4">
        <f>IFERROR(__xludf.DUMMYFUNCTION("""COMPUTED_VALUE"""),44963.66666666667)</f>
        <v>44963.66667</v>
      </c>
      <c r="B470" s="1">
        <f>IFERROR(__xludf.DUMMYFUNCTION("""COMPUTED_VALUE"""),151.73)</f>
        <v>151.73</v>
      </c>
      <c r="C470" s="4">
        <f>IFERROR(__xludf.DUMMYFUNCTION("""COMPUTED_VALUE"""),44963.66666666667)</f>
        <v>44963.66667</v>
      </c>
      <c r="D470" s="1">
        <f>IFERROR(__xludf.DUMMYFUNCTION("""COMPUTED_VALUE"""),256.77)</f>
        <v>256.77</v>
      </c>
      <c r="E470" s="4">
        <f>IFERROR(__xludf.DUMMYFUNCTION("""COMPUTED_VALUE"""),44963.66666666667)</f>
        <v>44963.66667</v>
      </c>
      <c r="F470" s="1">
        <f>IFERROR(__xludf.DUMMYFUNCTION("""COMPUTED_VALUE"""),111.73)</f>
        <v>111.73</v>
      </c>
      <c r="G470" s="4">
        <f>IFERROR(__xludf.DUMMYFUNCTION("""COMPUTED_VALUE"""),44963.66666666667)</f>
        <v>44963.66667</v>
      </c>
      <c r="H470" s="1">
        <f>IFERROR(__xludf.DUMMYFUNCTION("""COMPUTED_VALUE"""),169.64)</f>
        <v>169.64</v>
      </c>
      <c r="I470" s="5">
        <f t="shared" si="1"/>
        <v>0.019244711</v>
      </c>
      <c r="K470" s="5">
        <f t="shared" si="2"/>
        <v>0.04202204307</v>
      </c>
      <c r="L470" s="5">
        <f t="shared" si="3"/>
        <v>0.02855097109</v>
      </c>
      <c r="M470" s="5">
        <f t="shared" si="4"/>
        <v>0.02623202075</v>
      </c>
      <c r="Q470" s="5"/>
    </row>
    <row r="471">
      <c r="A471" s="4">
        <f>IFERROR(__xludf.DUMMYFUNCTION("""COMPUTED_VALUE"""),44964.66666666667)</f>
        <v>44964.66667</v>
      </c>
      <c r="B471" s="1">
        <f>IFERROR(__xludf.DUMMYFUNCTION("""COMPUTED_VALUE"""),154.65)</f>
        <v>154.65</v>
      </c>
      <c r="C471" s="4">
        <f>IFERROR(__xludf.DUMMYFUNCTION("""COMPUTED_VALUE"""),44964.66666666667)</f>
        <v>44964.66667</v>
      </c>
      <c r="D471" s="1">
        <f>IFERROR(__xludf.DUMMYFUNCTION("""COMPUTED_VALUE"""),267.56)</f>
        <v>267.56</v>
      </c>
      <c r="E471" s="4">
        <f>IFERROR(__xludf.DUMMYFUNCTION("""COMPUTED_VALUE"""),44964.66666666667)</f>
        <v>44964.66667</v>
      </c>
      <c r="F471" s="1">
        <f>IFERROR(__xludf.DUMMYFUNCTION("""COMPUTED_VALUE"""),114.92)</f>
        <v>114.92</v>
      </c>
      <c r="G471" s="4">
        <f>IFERROR(__xludf.DUMMYFUNCTION("""COMPUTED_VALUE"""),44964.66666666667)</f>
        <v>44964.66667</v>
      </c>
      <c r="H471" s="1">
        <f>IFERROR(__xludf.DUMMYFUNCTION("""COMPUTED_VALUE"""),174.09)</f>
        <v>174.09</v>
      </c>
      <c r="I471" s="5">
        <f t="shared" si="1"/>
        <v>-0.01765276431</v>
      </c>
      <c r="K471" s="5">
        <f t="shared" si="2"/>
        <v>-0.003102107938</v>
      </c>
      <c r="L471" s="5">
        <f t="shared" si="3"/>
        <v>-0.008701705534</v>
      </c>
      <c r="M471" s="5">
        <f t="shared" si="4"/>
        <v>-0.02349359527</v>
      </c>
      <c r="Q471" s="5"/>
    </row>
    <row r="472">
      <c r="A472" s="4">
        <f>IFERROR(__xludf.DUMMYFUNCTION("""COMPUTED_VALUE"""),44965.66666666667)</f>
        <v>44965.66667</v>
      </c>
      <c r="B472" s="1">
        <f>IFERROR(__xludf.DUMMYFUNCTION("""COMPUTED_VALUE"""),151.92)</f>
        <v>151.92</v>
      </c>
      <c r="C472" s="4">
        <f>IFERROR(__xludf.DUMMYFUNCTION("""COMPUTED_VALUE"""),44965.66666666667)</f>
        <v>44965.66667</v>
      </c>
      <c r="D472" s="1">
        <f>IFERROR(__xludf.DUMMYFUNCTION("""COMPUTED_VALUE"""),266.73)</f>
        <v>266.73</v>
      </c>
      <c r="E472" s="4">
        <f>IFERROR(__xludf.DUMMYFUNCTION("""COMPUTED_VALUE"""),44965.66666666667)</f>
        <v>44965.66667</v>
      </c>
      <c r="F472" s="1">
        <f>IFERROR(__xludf.DUMMYFUNCTION("""COMPUTED_VALUE"""),113.92)</f>
        <v>113.92</v>
      </c>
      <c r="G472" s="4">
        <f>IFERROR(__xludf.DUMMYFUNCTION("""COMPUTED_VALUE"""),44965.66666666667)</f>
        <v>44965.66667</v>
      </c>
      <c r="H472" s="1">
        <f>IFERROR(__xludf.DUMMYFUNCTION("""COMPUTED_VALUE"""),170.0)</f>
        <v>170</v>
      </c>
      <c r="I472" s="5">
        <f t="shared" si="1"/>
        <v>-0.006911532385</v>
      </c>
      <c r="K472" s="5">
        <f t="shared" si="2"/>
        <v>-0.01165973081</v>
      </c>
      <c r="L472" s="5">
        <f t="shared" si="3"/>
        <v>0.003774578652</v>
      </c>
      <c r="M472" s="5">
        <f t="shared" si="4"/>
        <v>-0.009176470588</v>
      </c>
      <c r="Q472" s="5"/>
    </row>
    <row r="473">
      <c r="A473" s="4">
        <f>IFERROR(__xludf.DUMMYFUNCTION("""COMPUTED_VALUE"""),44966.66666666667)</f>
        <v>44966.66667</v>
      </c>
      <c r="B473" s="1">
        <f>IFERROR(__xludf.DUMMYFUNCTION("""COMPUTED_VALUE"""),150.87)</f>
        <v>150.87</v>
      </c>
      <c r="C473" s="4">
        <f>IFERROR(__xludf.DUMMYFUNCTION("""COMPUTED_VALUE"""),44966.66666666667)</f>
        <v>44966.66667</v>
      </c>
      <c r="D473" s="1">
        <f>IFERROR(__xludf.DUMMYFUNCTION("""COMPUTED_VALUE"""),263.62)</f>
        <v>263.62</v>
      </c>
      <c r="E473" s="4">
        <f>IFERROR(__xludf.DUMMYFUNCTION("""COMPUTED_VALUE"""),44966.66666666667)</f>
        <v>44966.66667</v>
      </c>
      <c r="F473" s="1">
        <f>IFERROR(__xludf.DUMMYFUNCTION("""COMPUTED_VALUE"""),114.35)</f>
        <v>114.35</v>
      </c>
      <c r="G473" s="4">
        <f>IFERROR(__xludf.DUMMYFUNCTION("""COMPUTED_VALUE"""),44966.66666666667)</f>
        <v>44966.66667</v>
      </c>
      <c r="H473" s="1">
        <f>IFERROR(__xludf.DUMMYFUNCTION("""COMPUTED_VALUE"""),168.44)</f>
        <v>168.44</v>
      </c>
      <c r="I473" s="5">
        <f t="shared" si="1"/>
        <v>0.0009279512163</v>
      </c>
      <c r="K473" s="5">
        <f t="shared" si="2"/>
        <v>-0.001972536226</v>
      </c>
      <c r="L473" s="5">
        <f t="shared" si="3"/>
        <v>0.0421512899</v>
      </c>
      <c r="M473" s="5">
        <f t="shared" si="4"/>
        <v>0.02095701734</v>
      </c>
      <c r="Q473" s="5"/>
    </row>
    <row r="474">
      <c r="A474" s="4">
        <f>IFERROR(__xludf.DUMMYFUNCTION("""COMPUTED_VALUE"""),44967.66666666667)</f>
        <v>44967.66667</v>
      </c>
      <c r="B474" s="1">
        <f>IFERROR(__xludf.DUMMYFUNCTION("""COMPUTED_VALUE"""),151.01)</f>
        <v>151.01</v>
      </c>
      <c r="C474" s="4">
        <f>IFERROR(__xludf.DUMMYFUNCTION("""COMPUTED_VALUE"""),44967.66666666667)</f>
        <v>44967.66667</v>
      </c>
      <c r="D474" s="1">
        <f>IFERROR(__xludf.DUMMYFUNCTION("""COMPUTED_VALUE"""),263.1)</f>
        <v>263.1</v>
      </c>
      <c r="E474" s="4">
        <f>IFERROR(__xludf.DUMMYFUNCTION("""COMPUTED_VALUE"""),44967.66666666667)</f>
        <v>44967.66667</v>
      </c>
      <c r="F474" s="1">
        <f>IFERROR(__xludf.DUMMYFUNCTION("""COMPUTED_VALUE"""),119.17)</f>
        <v>119.17</v>
      </c>
      <c r="G474" s="4">
        <f>IFERROR(__xludf.DUMMYFUNCTION("""COMPUTED_VALUE"""),44967.66666666667)</f>
        <v>44967.66667</v>
      </c>
      <c r="H474" s="1">
        <f>IFERROR(__xludf.DUMMYFUNCTION("""COMPUTED_VALUE"""),171.97)</f>
        <v>171.97</v>
      </c>
      <c r="I474" s="5">
        <f t="shared" si="1"/>
        <v>0.01880670154</v>
      </c>
      <c r="K474" s="5">
        <f t="shared" si="2"/>
        <v>0.03124287343</v>
      </c>
      <c r="L474" s="5">
        <f t="shared" si="3"/>
        <v>-0.01149618192</v>
      </c>
      <c r="M474" s="5">
        <f t="shared" si="4"/>
        <v>-0.005582369018</v>
      </c>
      <c r="Q474" s="5"/>
    </row>
    <row r="475">
      <c r="A475" s="4">
        <f>IFERROR(__xludf.DUMMYFUNCTION("""COMPUTED_VALUE"""),44970.66666666667)</f>
        <v>44970.66667</v>
      </c>
      <c r="B475" s="1">
        <f>IFERROR(__xludf.DUMMYFUNCTION("""COMPUTED_VALUE"""),153.85)</f>
        <v>153.85</v>
      </c>
      <c r="C475" s="4">
        <f>IFERROR(__xludf.DUMMYFUNCTION("""COMPUTED_VALUE"""),44970.66666666667)</f>
        <v>44970.66667</v>
      </c>
      <c r="D475" s="1">
        <f>IFERROR(__xludf.DUMMYFUNCTION("""COMPUTED_VALUE"""),271.32)</f>
        <v>271.32</v>
      </c>
      <c r="E475" s="4">
        <f>IFERROR(__xludf.DUMMYFUNCTION("""COMPUTED_VALUE"""),44970.66666666667)</f>
        <v>44970.66667</v>
      </c>
      <c r="F475" s="1">
        <f>IFERROR(__xludf.DUMMYFUNCTION("""COMPUTED_VALUE"""),117.8)</f>
        <v>117.8</v>
      </c>
      <c r="G475" s="4">
        <f>IFERROR(__xludf.DUMMYFUNCTION("""COMPUTED_VALUE"""),44970.66666666667)</f>
        <v>44970.66667</v>
      </c>
      <c r="H475" s="1">
        <f>IFERROR(__xludf.DUMMYFUNCTION("""COMPUTED_VALUE"""),171.01)</f>
        <v>171.01</v>
      </c>
      <c r="I475" s="5">
        <f t="shared" si="1"/>
        <v>-0.004224894378</v>
      </c>
      <c r="K475" s="5">
        <f t="shared" si="2"/>
        <v>0.00313283208</v>
      </c>
      <c r="L475" s="5">
        <f t="shared" si="3"/>
        <v>-0.0117147708</v>
      </c>
      <c r="M475" s="5">
        <f t="shared" si="4"/>
        <v>0.007660370739</v>
      </c>
      <c r="Q475" s="5"/>
    </row>
    <row r="476">
      <c r="A476" s="4">
        <f>IFERROR(__xludf.DUMMYFUNCTION("""COMPUTED_VALUE"""),44971.66666666667)</f>
        <v>44971.66667</v>
      </c>
      <c r="B476" s="1">
        <f>IFERROR(__xludf.DUMMYFUNCTION("""COMPUTED_VALUE"""),153.2)</f>
        <v>153.2</v>
      </c>
      <c r="C476" s="4">
        <f>IFERROR(__xludf.DUMMYFUNCTION("""COMPUTED_VALUE"""),44971.66666666667)</f>
        <v>44971.66667</v>
      </c>
      <c r="D476" s="1">
        <f>IFERROR(__xludf.DUMMYFUNCTION("""COMPUTED_VALUE"""),272.17)</f>
        <v>272.17</v>
      </c>
      <c r="E476" s="4">
        <f>IFERROR(__xludf.DUMMYFUNCTION("""COMPUTED_VALUE"""),44971.66666666667)</f>
        <v>44971.66667</v>
      </c>
      <c r="F476" s="1">
        <f>IFERROR(__xludf.DUMMYFUNCTION("""COMPUTED_VALUE"""),116.42)</f>
        <v>116.42</v>
      </c>
      <c r="G476" s="4">
        <f>IFERROR(__xludf.DUMMYFUNCTION("""COMPUTED_VALUE"""),44971.66666666667)</f>
        <v>44971.66667</v>
      </c>
      <c r="H476" s="1">
        <f>IFERROR(__xludf.DUMMYFUNCTION("""COMPUTED_VALUE"""),172.32)</f>
        <v>172.32</v>
      </c>
      <c r="I476" s="5">
        <f t="shared" si="1"/>
        <v>0.01390339426</v>
      </c>
      <c r="K476" s="5">
        <f t="shared" si="2"/>
        <v>-0.01047139655</v>
      </c>
      <c r="L476" s="5">
        <f t="shared" si="3"/>
        <v>-0.003006356296</v>
      </c>
      <c r="M476" s="5">
        <f t="shared" si="4"/>
        <v>-0.0192084494</v>
      </c>
      <c r="Q476" s="5"/>
    </row>
    <row r="477">
      <c r="A477" s="4">
        <f>IFERROR(__xludf.DUMMYFUNCTION("""COMPUTED_VALUE"""),44972.66666666667)</f>
        <v>44972.66667</v>
      </c>
      <c r="B477" s="1">
        <f>IFERROR(__xludf.DUMMYFUNCTION("""COMPUTED_VALUE"""),155.33)</f>
        <v>155.33</v>
      </c>
      <c r="C477" s="4">
        <f>IFERROR(__xludf.DUMMYFUNCTION("""COMPUTED_VALUE"""),44972.66666666667)</f>
        <v>44972.66667</v>
      </c>
      <c r="D477" s="1">
        <f>IFERROR(__xludf.DUMMYFUNCTION("""COMPUTED_VALUE"""),269.32)</f>
        <v>269.32</v>
      </c>
      <c r="E477" s="4">
        <f>IFERROR(__xludf.DUMMYFUNCTION("""COMPUTED_VALUE"""),44972.66666666667)</f>
        <v>44972.66667</v>
      </c>
      <c r="F477" s="1">
        <f>IFERROR(__xludf.DUMMYFUNCTION("""COMPUTED_VALUE"""),116.07)</f>
        <v>116.07</v>
      </c>
      <c r="G477" s="4">
        <f>IFERROR(__xludf.DUMMYFUNCTION("""COMPUTED_VALUE"""),44972.66666666667)</f>
        <v>44972.66667</v>
      </c>
      <c r="H477" s="1">
        <f>IFERROR(__xludf.DUMMYFUNCTION("""COMPUTED_VALUE"""),169.01)</f>
        <v>169.01</v>
      </c>
      <c r="I477" s="5">
        <f t="shared" si="1"/>
        <v>-0.01042940836</v>
      </c>
      <c r="K477" s="5">
        <f t="shared" si="2"/>
        <v>-0.02662260508</v>
      </c>
      <c r="L477" s="5">
        <f t="shared" si="3"/>
        <v>-0.002929266822</v>
      </c>
      <c r="M477" s="5">
        <f t="shared" si="4"/>
        <v>-0.01443701556</v>
      </c>
      <c r="Q477" s="5"/>
    </row>
    <row r="478">
      <c r="A478" s="4">
        <f>IFERROR(__xludf.DUMMYFUNCTION("""COMPUTED_VALUE"""),44973.66666666667)</f>
        <v>44973.66667</v>
      </c>
      <c r="B478" s="1">
        <f>IFERROR(__xludf.DUMMYFUNCTION("""COMPUTED_VALUE"""),153.71)</f>
        <v>153.71</v>
      </c>
      <c r="C478" s="4">
        <f>IFERROR(__xludf.DUMMYFUNCTION("""COMPUTED_VALUE"""),44973.66666666667)</f>
        <v>44973.66667</v>
      </c>
      <c r="D478" s="1">
        <f>IFERROR(__xludf.DUMMYFUNCTION("""COMPUTED_VALUE"""),262.15)</f>
        <v>262.15</v>
      </c>
      <c r="E478" s="4">
        <f>IFERROR(__xludf.DUMMYFUNCTION("""COMPUTED_VALUE"""),44973.66666666667)</f>
        <v>44973.66667</v>
      </c>
      <c r="F478" s="1">
        <f>IFERROR(__xludf.DUMMYFUNCTION("""COMPUTED_VALUE"""),115.73)</f>
        <v>115.73</v>
      </c>
      <c r="G478" s="4">
        <f>IFERROR(__xludf.DUMMYFUNCTION("""COMPUTED_VALUE"""),44973.66666666667)</f>
        <v>44973.66667</v>
      </c>
      <c r="H478" s="1">
        <f>IFERROR(__xludf.DUMMYFUNCTION("""COMPUTED_VALUE"""),166.57)</f>
        <v>166.57</v>
      </c>
      <c r="I478" s="5">
        <f t="shared" si="1"/>
        <v>-0.007546678811</v>
      </c>
      <c r="K478" s="5">
        <f t="shared" si="2"/>
        <v>-0.01560175472</v>
      </c>
      <c r="L478" s="5">
        <f t="shared" si="3"/>
        <v>-0.03845156831</v>
      </c>
      <c r="M478" s="5">
        <f t="shared" si="4"/>
        <v>-0.02233295311</v>
      </c>
      <c r="Q478" s="5"/>
    </row>
    <row r="479">
      <c r="A479" s="4">
        <f>IFERROR(__xludf.DUMMYFUNCTION("""COMPUTED_VALUE"""),44974.66666666667)</f>
        <v>44974.66667</v>
      </c>
      <c r="B479" s="1">
        <f>IFERROR(__xludf.DUMMYFUNCTION("""COMPUTED_VALUE"""),152.55)</f>
        <v>152.55</v>
      </c>
      <c r="C479" s="4">
        <f>IFERROR(__xludf.DUMMYFUNCTION("""COMPUTED_VALUE"""),44974.66666666667)</f>
        <v>44974.66667</v>
      </c>
      <c r="D479" s="1">
        <f>IFERROR(__xludf.DUMMYFUNCTION("""COMPUTED_VALUE"""),258.06)</f>
        <v>258.06</v>
      </c>
      <c r="E479" s="4">
        <f>IFERROR(__xludf.DUMMYFUNCTION("""COMPUTED_VALUE"""),44974.66666666667)</f>
        <v>44974.66667</v>
      </c>
      <c r="F479" s="1">
        <f>IFERROR(__xludf.DUMMYFUNCTION("""COMPUTED_VALUE"""),111.28)</f>
        <v>111.28</v>
      </c>
      <c r="G479" s="4">
        <f>IFERROR(__xludf.DUMMYFUNCTION("""COMPUTED_VALUE"""),44974.66666666667)</f>
        <v>44974.66667</v>
      </c>
      <c r="H479" s="1">
        <f>IFERROR(__xludf.DUMMYFUNCTION("""COMPUTED_VALUE"""),162.85)</f>
        <v>162.85</v>
      </c>
      <c r="I479" s="5">
        <f t="shared" si="1"/>
        <v>-0.02667977712</v>
      </c>
      <c r="K479" s="5">
        <f t="shared" si="2"/>
        <v>-0.02088661552</v>
      </c>
      <c r="L479" s="5">
        <f t="shared" si="3"/>
        <v>-0.0009884974838</v>
      </c>
      <c r="M479" s="5">
        <f t="shared" si="4"/>
        <v>-0.01136014737</v>
      </c>
      <c r="Q479" s="5"/>
    </row>
    <row r="480">
      <c r="A480" s="4">
        <f>IFERROR(__xludf.DUMMYFUNCTION("""COMPUTED_VALUE"""),44978.66666666667)</f>
        <v>44978.66667</v>
      </c>
      <c r="B480" s="1">
        <f>IFERROR(__xludf.DUMMYFUNCTION("""COMPUTED_VALUE"""),148.48)</f>
        <v>148.48</v>
      </c>
      <c r="C480" s="4">
        <f>IFERROR(__xludf.DUMMYFUNCTION("""COMPUTED_VALUE"""),44978.66666666667)</f>
        <v>44978.66667</v>
      </c>
      <c r="D480" s="1">
        <f>IFERROR(__xludf.DUMMYFUNCTION("""COMPUTED_VALUE"""),252.67)</f>
        <v>252.67</v>
      </c>
      <c r="E480" s="4">
        <f>IFERROR(__xludf.DUMMYFUNCTION("""COMPUTED_VALUE"""),44978.66666666667)</f>
        <v>44978.66667</v>
      </c>
      <c r="F480" s="1">
        <f>IFERROR(__xludf.DUMMYFUNCTION("""COMPUTED_VALUE"""),111.17)</f>
        <v>111.17</v>
      </c>
      <c r="G480" s="4">
        <f>IFERROR(__xludf.DUMMYFUNCTION("""COMPUTED_VALUE"""),44978.66666666667)</f>
        <v>44978.66667</v>
      </c>
      <c r="H480" s="1">
        <f>IFERROR(__xludf.DUMMYFUNCTION("""COMPUTED_VALUE"""),161.0)</f>
        <v>161</v>
      </c>
      <c r="I480" s="5">
        <f t="shared" si="1"/>
        <v>0.002896012931</v>
      </c>
      <c r="K480" s="5">
        <f t="shared" si="2"/>
        <v>-0.004590968457</v>
      </c>
      <c r="L480" s="5">
        <f t="shared" si="3"/>
        <v>-0.01295313484</v>
      </c>
      <c r="M480" s="5">
        <f t="shared" si="4"/>
        <v>-0.004037267081</v>
      </c>
      <c r="Q480" s="5"/>
    </row>
    <row r="481">
      <c r="A481" s="4">
        <f>IFERROR(__xludf.DUMMYFUNCTION("""COMPUTED_VALUE"""),44979.66666666667)</f>
        <v>44979.66667</v>
      </c>
      <c r="B481" s="1">
        <f>IFERROR(__xludf.DUMMYFUNCTION("""COMPUTED_VALUE"""),148.91)</f>
        <v>148.91</v>
      </c>
      <c r="C481" s="4">
        <f>IFERROR(__xludf.DUMMYFUNCTION("""COMPUTED_VALUE"""),44979.66666666667)</f>
        <v>44979.66667</v>
      </c>
      <c r="D481" s="1">
        <f>IFERROR(__xludf.DUMMYFUNCTION("""COMPUTED_VALUE"""),251.51)</f>
        <v>251.51</v>
      </c>
      <c r="E481" s="4">
        <f>IFERROR(__xludf.DUMMYFUNCTION("""COMPUTED_VALUE"""),44979.66666666667)</f>
        <v>44979.66667</v>
      </c>
      <c r="F481" s="1">
        <f>IFERROR(__xludf.DUMMYFUNCTION("""COMPUTED_VALUE"""),109.73)</f>
        <v>109.73</v>
      </c>
      <c r="G481" s="4">
        <f>IFERROR(__xludf.DUMMYFUNCTION("""COMPUTED_VALUE"""),44979.66666666667)</f>
        <v>44979.66667</v>
      </c>
      <c r="H481" s="1">
        <f>IFERROR(__xludf.DUMMYFUNCTION("""COMPUTED_VALUE"""),160.35)</f>
        <v>160.35</v>
      </c>
      <c r="I481" s="5">
        <f t="shared" si="1"/>
        <v>0.003290578202</v>
      </c>
      <c r="K481" s="5">
        <f t="shared" si="2"/>
        <v>0.01296171126</v>
      </c>
      <c r="L481" s="5">
        <f t="shared" si="3"/>
        <v>0.009204410827</v>
      </c>
      <c r="M481" s="5">
        <f t="shared" si="4"/>
        <v>0.009853445588</v>
      </c>
      <c r="Q481" s="5"/>
    </row>
    <row r="482">
      <c r="A482" s="4">
        <f>IFERROR(__xludf.DUMMYFUNCTION("""COMPUTED_VALUE"""),44980.66666666667)</f>
        <v>44980.66667</v>
      </c>
      <c r="B482" s="1">
        <f>IFERROR(__xludf.DUMMYFUNCTION("""COMPUTED_VALUE"""),149.4)</f>
        <v>149.4</v>
      </c>
      <c r="C482" s="4">
        <f>IFERROR(__xludf.DUMMYFUNCTION("""COMPUTED_VALUE"""),44980.66666666667)</f>
        <v>44980.66667</v>
      </c>
      <c r="D482" s="1">
        <f>IFERROR(__xludf.DUMMYFUNCTION("""COMPUTED_VALUE"""),254.77)</f>
        <v>254.77</v>
      </c>
      <c r="E482" s="4">
        <f>IFERROR(__xludf.DUMMYFUNCTION("""COMPUTED_VALUE"""),44980.66666666667)</f>
        <v>44980.66667</v>
      </c>
      <c r="F482" s="1">
        <f>IFERROR(__xludf.DUMMYFUNCTION("""COMPUTED_VALUE"""),110.74)</f>
        <v>110.74</v>
      </c>
      <c r="G482" s="4">
        <f>IFERROR(__xludf.DUMMYFUNCTION("""COMPUTED_VALUE"""),44980.66666666667)</f>
        <v>44980.66667</v>
      </c>
      <c r="H482" s="1">
        <f>IFERROR(__xludf.DUMMYFUNCTION("""COMPUTED_VALUE"""),161.93)</f>
        <v>161.93</v>
      </c>
      <c r="I482" s="5">
        <f t="shared" si="1"/>
        <v>-0.01800535475</v>
      </c>
      <c r="K482" s="5">
        <f t="shared" si="2"/>
        <v>-0.02178435452</v>
      </c>
      <c r="L482" s="5">
        <f t="shared" si="3"/>
        <v>0.00009030160737</v>
      </c>
      <c r="M482" s="5">
        <f t="shared" si="4"/>
        <v>0.002964243809</v>
      </c>
      <c r="Q482" s="5"/>
    </row>
    <row r="483">
      <c r="A483" s="4">
        <f>IFERROR(__xludf.DUMMYFUNCTION("""COMPUTED_VALUE"""),44981.66666666667)</f>
        <v>44981.66667</v>
      </c>
      <c r="B483" s="1">
        <f>IFERROR(__xludf.DUMMYFUNCTION("""COMPUTED_VALUE"""),146.71)</f>
        <v>146.71</v>
      </c>
      <c r="C483" s="4">
        <f>IFERROR(__xludf.DUMMYFUNCTION("""COMPUTED_VALUE"""),44981.66666666667)</f>
        <v>44981.66667</v>
      </c>
      <c r="D483" s="1">
        <f>IFERROR(__xludf.DUMMYFUNCTION("""COMPUTED_VALUE"""),249.22)</f>
        <v>249.22</v>
      </c>
      <c r="E483" s="4">
        <f>IFERROR(__xludf.DUMMYFUNCTION("""COMPUTED_VALUE"""),44981.66666666667)</f>
        <v>44981.66667</v>
      </c>
      <c r="F483" s="1">
        <f>IFERROR(__xludf.DUMMYFUNCTION("""COMPUTED_VALUE"""),110.75)</f>
        <v>110.75</v>
      </c>
      <c r="G483" s="4">
        <f>IFERROR(__xludf.DUMMYFUNCTION("""COMPUTED_VALUE"""),44981.66666666667)</f>
        <v>44981.66667</v>
      </c>
      <c r="H483" s="1">
        <f>IFERROR(__xludf.DUMMYFUNCTION("""COMPUTED_VALUE"""),162.41)</f>
        <v>162.41</v>
      </c>
      <c r="I483" s="5">
        <f t="shared" si="1"/>
        <v>0.00824756322</v>
      </c>
      <c r="K483" s="5">
        <f t="shared" si="2"/>
        <v>0.003771767916</v>
      </c>
      <c r="L483" s="5">
        <f t="shared" si="3"/>
        <v>-0.001805869074</v>
      </c>
      <c r="M483" s="5">
        <f t="shared" si="4"/>
        <v>0.002524475094</v>
      </c>
      <c r="Q483" s="5"/>
    </row>
    <row r="484">
      <c r="A484" s="4">
        <f>IFERROR(__xludf.DUMMYFUNCTION("""COMPUTED_VALUE"""),44984.66666666667)</f>
        <v>44984.66667</v>
      </c>
      <c r="B484" s="1">
        <f>IFERROR(__xludf.DUMMYFUNCTION("""COMPUTED_VALUE"""),147.92)</f>
        <v>147.92</v>
      </c>
      <c r="C484" s="4">
        <f>IFERROR(__xludf.DUMMYFUNCTION("""COMPUTED_VALUE"""),44984.66666666667)</f>
        <v>44984.66667</v>
      </c>
      <c r="D484" s="1">
        <f>IFERROR(__xludf.DUMMYFUNCTION("""COMPUTED_VALUE"""),250.16)</f>
        <v>250.16</v>
      </c>
      <c r="E484" s="4">
        <f>IFERROR(__xludf.DUMMYFUNCTION("""COMPUTED_VALUE"""),44984.66666666667)</f>
        <v>44984.66667</v>
      </c>
      <c r="F484" s="1">
        <f>IFERROR(__xludf.DUMMYFUNCTION("""COMPUTED_VALUE"""),110.55)</f>
        <v>110.55</v>
      </c>
      <c r="G484" s="4">
        <f>IFERROR(__xludf.DUMMYFUNCTION("""COMPUTED_VALUE"""),44984.66666666667)</f>
        <v>44984.66667</v>
      </c>
      <c r="H484" s="1">
        <f>IFERROR(__xludf.DUMMYFUNCTION("""COMPUTED_VALUE"""),162.82)</f>
        <v>162.82</v>
      </c>
      <c r="I484" s="5">
        <f t="shared" si="1"/>
        <v>-0.003447809627</v>
      </c>
      <c r="K484" s="5">
        <f t="shared" si="2"/>
        <v>-0.002958106812</v>
      </c>
      <c r="L484" s="5">
        <f t="shared" si="3"/>
        <v>-0.00578923564</v>
      </c>
      <c r="M484" s="5">
        <f t="shared" si="4"/>
        <v>-0.01259059084</v>
      </c>
      <c r="Q484" s="5"/>
    </row>
    <row r="485">
      <c r="A485" s="4">
        <f>IFERROR(__xludf.DUMMYFUNCTION("""COMPUTED_VALUE"""),44985.66666666667)</f>
        <v>44985.66667</v>
      </c>
      <c r="B485" s="1">
        <f>IFERROR(__xludf.DUMMYFUNCTION("""COMPUTED_VALUE"""),147.41)</f>
        <v>147.41</v>
      </c>
      <c r="C485" s="4">
        <f>IFERROR(__xludf.DUMMYFUNCTION("""COMPUTED_VALUE"""),44985.66666666667)</f>
        <v>44985.66667</v>
      </c>
      <c r="D485" s="1">
        <f>IFERROR(__xludf.DUMMYFUNCTION("""COMPUTED_VALUE"""),249.42)</f>
        <v>249.42</v>
      </c>
      <c r="E485" s="4">
        <f>IFERROR(__xludf.DUMMYFUNCTION("""COMPUTED_VALUE"""),44985.66666666667)</f>
        <v>44985.66667</v>
      </c>
      <c r="F485" s="1">
        <f>IFERROR(__xludf.DUMMYFUNCTION("""COMPUTED_VALUE"""),109.91)</f>
        <v>109.91</v>
      </c>
      <c r="G485" s="4">
        <f>IFERROR(__xludf.DUMMYFUNCTION("""COMPUTED_VALUE"""),44985.66666666667)</f>
        <v>44985.66667</v>
      </c>
      <c r="H485" s="1">
        <f>IFERROR(__xludf.DUMMYFUNCTION("""COMPUTED_VALUE"""),160.77)</f>
        <v>160.77</v>
      </c>
      <c r="I485" s="5">
        <f t="shared" si="1"/>
        <v>-0.0142459806</v>
      </c>
      <c r="K485" s="5">
        <f t="shared" si="2"/>
        <v>-0.01262929998</v>
      </c>
      <c r="L485" s="5">
        <f t="shared" si="3"/>
        <v>0.008916386134</v>
      </c>
      <c r="M485" s="5">
        <f t="shared" si="4"/>
        <v>0.007961684394</v>
      </c>
      <c r="Q485" s="5"/>
    </row>
    <row r="486">
      <c r="A486" s="4">
        <f>IFERROR(__xludf.DUMMYFUNCTION("""COMPUTED_VALUE"""),44986.66666666667)</f>
        <v>44986.66667</v>
      </c>
      <c r="B486" s="1">
        <f>IFERROR(__xludf.DUMMYFUNCTION("""COMPUTED_VALUE"""),145.31)</f>
        <v>145.31</v>
      </c>
      <c r="C486" s="4">
        <f>IFERROR(__xludf.DUMMYFUNCTION("""COMPUTED_VALUE"""),44986.66666666667)</f>
        <v>44986.66667</v>
      </c>
      <c r="D486" s="1">
        <f>IFERROR(__xludf.DUMMYFUNCTION("""COMPUTED_VALUE"""),246.27)</f>
        <v>246.27</v>
      </c>
      <c r="E486" s="4">
        <f>IFERROR(__xludf.DUMMYFUNCTION("""COMPUTED_VALUE"""),44986.66666666667)</f>
        <v>44986.66667</v>
      </c>
      <c r="F486" s="1">
        <f>IFERROR(__xludf.DUMMYFUNCTION("""COMPUTED_VALUE"""),110.89)</f>
        <v>110.89</v>
      </c>
      <c r="G486" s="4">
        <f>IFERROR(__xludf.DUMMYFUNCTION("""COMPUTED_VALUE"""),44986.66666666667)</f>
        <v>44986.66667</v>
      </c>
      <c r="H486" s="1">
        <f>IFERROR(__xludf.DUMMYFUNCTION("""COMPUTED_VALUE"""),162.05)</f>
        <v>162.05</v>
      </c>
      <c r="I486" s="5">
        <f t="shared" si="1"/>
        <v>0.004129103296</v>
      </c>
      <c r="K486" s="5">
        <f t="shared" si="2"/>
        <v>0.01965322613</v>
      </c>
      <c r="L486" s="5">
        <f t="shared" si="3"/>
        <v>0.004599152313</v>
      </c>
      <c r="M486" s="5">
        <f t="shared" si="4"/>
        <v>0.003147176797</v>
      </c>
      <c r="Q486" s="5"/>
    </row>
    <row r="487">
      <c r="A487" s="4">
        <f>IFERROR(__xludf.DUMMYFUNCTION("""COMPUTED_VALUE"""),44987.66666666667)</f>
        <v>44987.66667</v>
      </c>
      <c r="B487" s="1">
        <f>IFERROR(__xludf.DUMMYFUNCTION("""COMPUTED_VALUE"""),145.91)</f>
        <v>145.91</v>
      </c>
      <c r="C487" s="4">
        <f>IFERROR(__xludf.DUMMYFUNCTION("""COMPUTED_VALUE"""),44987.66666666667)</f>
        <v>44987.66667</v>
      </c>
      <c r="D487" s="1">
        <f>IFERROR(__xludf.DUMMYFUNCTION("""COMPUTED_VALUE"""),251.11)</f>
        <v>251.11</v>
      </c>
      <c r="E487" s="4">
        <f>IFERROR(__xludf.DUMMYFUNCTION("""COMPUTED_VALUE"""),44987.66666666667)</f>
        <v>44987.66667</v>
      </c>
      <c r="F487" s="1">
        <f>IFERROR(__xludf.DUMMYFUNCTION("""COMPUTED_VALUE"""),111.4)</f>
        <v>111.4</v>
      </c>
      <c r="G487" s="4">
        <f>IFERROR(__xludf.DUMMYFUNCTION("""COMPUTED_VALUE"""),44987.66666666667)</f>
        <v>44987.66667</v>
      </c>
      <c r="H487" s="1">
        <f>IFERROR(__xludf.DUMMYFUNCTION("""COMPUTED_VALUE"""),162.56)</f>
        <v>162.56</v>
      </c>
      <c r="I487" s="5">
        <f t="shared" si="1"/>
        <v>0.03509012405</v>
      </c>
      <c r="K487" s="5">
        <f t="shared" si="2"/>
        <v>0.01664609135</v>
      </c>
      <c r="L487" s="5">
        <f t="shared" si="3"/>
        <v>0.01265709156</v>
      </c>
      <c r="M487" s="5">
        <f t="shared" si="4"/>
        <v>0.01476377953</v>
      </c>
      <c r="Q487" s="5"/>
    </row>
    <row r="488">
      <c r="A488" s="4">
        <f>IFERROR(__xludf.DUMMYFUNCTION("""COMPUTED_VALUE"""),44988.66666666667)</f>
        <v>44988.66667</v>
      </c>
      <c r="B488" s="1">
        <f>IFERROR(__xludf.DUMMYFUNCTION("""COMPUTED_VALUE"""),151.03)</f>
        <v>151.03</v>
      </c>
      <c r="C488" s="4">
        <f>IFERROR(__xludf.DUMMYFUNCTION("""COMPUTED_VALUE"""),44988.66666666667)</f>
        <v>44988.66667</v>
      </c>
      <c r="D488" s="1">
        <f>IFERROR(__xludf.DUMMYFUNCTION("""COMPUTED_VALUE"""),255.29)</f>
        <v>255.29</v>
      </c>
      <c r="E488" s="4">
        <f>IFERROR(__xludf.DUMMYFUNCTION("""COMPUTED_VALUE"""),44988.66666666667)</f>
        <v>44988.66667</v>
      </c>
      <c r="F488" s="1">
        <f>IFERROR(__xludf.DUMMYFUNCTION("""COMPUTED_VALUE"""),112.81)</f>
        <v>112.81</v>
      </c>
      <c r="G488" s="4">
        <f>IFERROR(__xludf.DUMMYFUNCTION("""COMPUTED_VALUE"""),44988.66666666667)</f>
        <v>44988.66667</v>
      </c>
      <c r="H488" s="1">
        <f>IFERROR(__xludf.DUMMYFUNCTION("""COMPUTED_VALUE"""),164.96)</f>
        <v>164.96</v>
      </c>
      <c r="I488" s="5">
        <f t="shared" si="1"/>
        <v>0.01853936304</v>
      </c>
      <c r="K488" s="5">
        <f t="shared" si="2"/>
        <v>0.006189039915</v>
      </c>
      <c r="L488" s="5">
        <f t="shared" si="3"/>
        <v>0.00886446237</v>
      </c>
      <c r="M488" s="5">
        <f t="shared" si="4"/>
        <v>0.007335111542</v>
      </c>
      <c r="Q488" s="5"/>
    </row>
    <row r="489">
      <c r="A489" s="4">
        <f>IFERROR(__xludf.DUMMYFUNCTION("""COMPUTED_VALUE"""),44991.66666666667)</f>
        <v>44991.66667</v>
      </c>
      <c r="B489" s="1">
        <f>IFERROR(__xludf.DUMMYFUNCTION("""COMPUTED_VALUE"""),153.83)</f>
        <v>153.83</v>
      </c>
      <c r="C489" s="4">
        <f>IFERROR(__xludf.DUMMYFUNCTION("""COMPUTED_VALUE"""),44991.66666666667)</f>
        <v>44991.66667</v>
      </c>
      <c r="D489" s="1">
        <f>IFERROR(__xludf.DUMMYFUNCTION("""COMPUTED_VALUE"""),256.87)</f>
        <v>256.87</v>
      </c>
      <c r="E489" s="4">
        <f>IFERROR(__xludf.DUMMYFUNCTION("""COMPUTED_VALUE"""),44991.66666666667)</f>
        <v>44991.66667</v>
      </c>
      <c r="F489" s="1">
        <f>IFERROR(__xludf.DUMMYFUNCTION("""COMPUTED_VALUE"""),113.81)</f>
        <v>113.81</v>
      </c>
      <c r="G489" s="4">
        <f>IFERROR(__xludf.DUMMYFUNCTION("""COMPUTED_VALUE"""),44991.66666666667)</f>
        <v>44991.66667</v>
      </c>
      <c r="H489" s="1">
        <f>IFERROR(__xludf.DUMMYFUNCTION("""COMPUTED_VALUE"""),166.17)</f>
        <v>166.17</v>
      </c>
      <c r="I489" s="5">
        <f t="shared" si="1"/>
        <v>-0.01449652213</v>
      </c>
      <c r="K489" s="5">
        <f t="shared" si="2"/>
        <v>-0.0105890139</v>
      </c>
      <c r="L489" s="5">
        <f t="shared" si="3"/>
        <v>-0.01933046305</v>
      </c>
      <c r="M489" s="5">
        <f t="shared" si="4"/>
        <v>-0.01287837757</v>
      </c>
      <c r="Q489" s="5"/>
    </row>
    <row r="490">
      <c r="A490" s="4">
        <f>IFERROR(__xludf.DUMMYFUNCTION("""COMPUTED_VALUE"""),44992.66666666667)</f>
        <v>44992.66667</v>
      </c>
      <c r="B490" s="1">
        <f>IFERROR(__xludf.DUMMYFUNCTION("""COMPUTED_VALUE"""),151.6)</f>
        <v>151.6</v>
      </c>
      <c r="C490" s="4">
        <f>IFERROR(__xludf.DUMMYFUNCTION("""COMPUTED_VALUE"""),44992.66666666667)</f>
        <v>44992.66667</v>
      </c>
      <c r="D490" s="1">
        <f>IFERROR(__xludf.DUMMYFUNCTION("""COMPUTED_VALUE"""),254.15)</f>
        <v>254.15</v>
      </c>
      <c r="E490" s="4">
        <f>IFERROR(__xludf.DUMMYFUNCTION("""COMPUTED_VALUE"""),44992.66666666667)</f>
        <v>44992.66667</v>
      </c>
      <c r="F490" s="1">
        <f>IFERROR(__xludf.DUMMYFUNCTION("""COMPUTED_VALUE"""),111.61)</f>
        <v>111.61</v>
      </c>
      <c r="G490" s="4">
        <f>IFERROR(__xludf.DUMMYFUNCTION("""COMPUTED_VALUE"""),44992.66666666667)</f>
        <v>44992.66667</v>
      </c>
      <c r="H490" s="1">
        <f>IFERROR(__xludf.DUMMYFUNCTION("""COMPUTED_VALUE"""),164.03)</f>
        <v>164.03</v>
      </c>
      <c r="I490" s="5">
        <f t="shared" si="1"/>
        <v>0.008377308707</v>
      </c>
      <c r="K490" s="5">
        <f t="shared" si="2"/>
        <v>-0.001770607909</v>
      </c>
      <c r="L490" s="5">
        <f t="shared" si="3"/>
        <v>-0.01460442613</v>
      </c>
      <c r="M490" s="5">
        <f t="shared" si="4"/>
        <v>-0.006340303603</v>
      </c>
      <c r="Q490" s="5"/>
    </row>
    <row r="491">
      <c r="A491" s="4">
        <f>IFERROR(__xludf.DUMMYFUNCTION("""COMPUTED_VALUE"""),44993.66666666667)</f>
        <v>44993.66667</v>
      </c>
      <c r="B491" s="1">
        <f>IFERROR(__xludf.DUMMYFUNCTION("""COMPUTED_VALUE"""),152.87)</f>
        <v>152.87</v>
      </c>
      <c r="C491" s="4">
        <f>IFERROR(__xludf.DUMMYFUNCTION("""COMPUTED_VALUE"""),44993.66666666667)</f>
        <v>44993.66667</v>
      </c>
      <c r="D491" s="1">
        <f>IFERROR(__xludf.DUMMYFUNCTION("""COMPUTED_VALUE"""),253.7)</f>
        <v>253.7</v>
      </c>
      <c r="E491" s="4">
        <f>IFERROR(__xludf.DUMMYFUNCTION("""COMPUTED_VALUE"""),44993.66666666667)</f>
        <v>44993.66667</v>
      </c>
      <c r="F491" s="1">
        <f>IFERROR(__xludf.DUMMYFUNCTION("""COMPUTED_VALUE"""),109.98)</f>
        <v>109.98</v>
      </c>
      <c r="G491" s="4">
        <f>IFERROR(__xludf.DUMMYFUNCTION("""COMPUTED_VALUE"""),44993.66666666667)</f>
        <v>44993.66667</v>
      </c>
      <c r="H491" s="1">
        <f>IFERROR(__xludf.DUMMYFUNCTION("""COMPUTED_VALUE"""),162.99)</f>
        <v>162.99</v>
      </c>
      <c r="I491" s="5">
        <f t="shared" si="1"/>
        <v>-0.01491463335</v>
      </c>
      <c r="K491" s="5">
        <f t="shared" si="2"/>
        <v>-0.005439495467</v>
      </c>
      <c r="L491" s="5">
        <f t="shared" si="3"/>
        <v>-0.007728677941</v>
      </c>
      <c r="M491" s="5">
        <f t="shared" si="4"/>
        <v>-0.0152156574</v>
      </c>
      <c r="Q491" s="5"/>
    </row>
    <row r="492">
      <c r="A492" s="4">
        <f>IFERROR(__xludf.DUMMYFUNCTION("""COMPUTED_VALUE"""),44994.66666666667)</f>
        <v>44994.66667</v>
      </c>
      <c r="B492" s="1">
        <f>IFERROR(__xludf.DUMMYFUNCTION("""COMPUTED_VALUE"""),150.59)</f>
        <v>150.59</v>
      </c>
      <c r="C492" s="4">
        <f>IFERROR(__xludf.DUMMYFUNCTION("""COMPUTED_VALUE"""),44994.66666666667)</f>
        <v>44994.66667</v>
      </c>
      <c r="D492" s="1">
        <f>IFERROR(__xludf.DUMMYFUNCTION("""COMPUTED_VALUE"""),252.32)</f>
        <v>252.32</v>
      </c>
      <c r="E492" s="4">
        <f>IFERROR(__xludf.DUMMYFUNCTION("""COMPUTED_VALUE"""),44994.66666666667)</f>
        <v>44994.66667</v>
      </c>
      <c r="F492" s="1">
        <f>IFERROR(__xludf.DUMMYFUNCTION("""COMPUTED_VALUE"""),109.13)</f>
        <v>109.13</v>
      </c>
      <c r="G492" s="4">
        <f>IFERROR(__xludf.DUMMYFUNCTION("""COMPUTED_VALUE"""),44994.66666666667)</f>
        <v>44994.66667</v>
      </c>
      <c r="H492" s="1">
        <f>IFERROR(__xludf.DUMMYFUNCTION("""COMPUTED_VALUE"""),160.51)</f>
        <v>160.51</v>
      </c>
      <c r="I492" s="5">
        <f t="shared" si="1"/>
        <v>-0.01387874361</v>
      </c>
      <c r="K492" s="5">
        <f t="shared" si="2"/>
        <v>-0.01478281547</v>
      </c>
      <c r="L492" s="5">
        <f t="shared" si="3"/>
        <v>-0.01237056721</v>
      </c>
      <c r="M492" s="5">
        <f t="shared" si="4"/>
        <v>-0.005233318796</v>
      </c>
      <c r="Q492" s="5"/>
    </row>
    <row r="493">
      <c r="A493" s="4">
        <f>IFERROR(__xludf.DUMMYFUNCTION("""COMPUTED_VALUE"""),44995.66666666667)</f>
        <v>44995.66667</v>
      </c>
      <c r="B493" s="1">
        <f>IFERROR(__xludf.DUMMYFUNCTION("""COMPUTED_VALUE"""),148.5)</f>
        <v>148.5</v>
      </c>
      <c r="C493" s="4">
        <f>IFERROR(__xludf.DUMMYFUNCTION("""COMPUTED_VALUE"""),44995.66666666667)</f>
        <v>44995.66667</v>
      </c>
      <c r="D493" s="1">
        <f>IFERROR(__xludf.DUMMYFUNCTION("""COMPUTED_VALUE"""),248.59)</f>
        <v>248.59</v>
      </c>
      <c r="E493" s="4">
        <f>IFERROR(__xludf.DUMMYFUNCTION("""COMPUTED_VALUE"""),44995.66666666667)</f>
        <v>44995.66667</v>
      </c>
      <c r="F493" s="1">
        <f>IFERROR(__xludf.DUMMYFUNCTION("""COMPUTED_VALUE"""),107.78)</f>
        <v>107.78</v>
      </c>
      <c r="G493" s="4">
        <f>IFERROR(__xludf.DUMMYFUNCTION("""COMPUTED_VALUE"""),44995.66666666667)</f>
        <v>44995.66667</v>
      </c>
      <c r="H493" s="1">
        <f>IFERROR(__xludf.DUMMYFUNCTION("""COMPUTED_VALUE"""),159.67)</f>
        <v>159.67</v>
      </c>
      <c r="I493" s="5">
        <f t="shared" si="1"/>
        <v>0.01326599327</v>
      </c>
      <c r="K493" s="5">
        <f t="shared" si="2"/>
        <v>0.02144092683</v>
      </c>
      <c r="L493" s="5">
        <f t="shared" si="3"/>
        <v>-0.01150491742</v>
      </c>
      <c r="M493" s="5">
        <f t="shared" si="4"/>
        <v>-0.006012400576</v>
      </c>
      <c r="Q493" s="5"/>
    </row>
    <row r="494">
      <c r="A494" s="4">
        <f>IFERROR(__xludf.DUMMYFUNCTION("""COMPUTED_VALUE"""),44998.66666666667)</f>
        <v>44998.66667</v>
      </c>
      <c r="B494" s="1">
        <f>IFERROR(__xludf.DUMMYFUNCTION("""COMPUTED_VALUE"""),150.47)</f>
        <v>150.47</v>
      </c>
      <c r="C494" s="4">
        <f>IFERROR(__xludf.DUMMYFUNCTION("""COMPUTED_VALUE"""),44998.66666666667)</f>
        <v>44998.66667</v>
      </c>
      <c r="D494" s="1">
        <f>IFERROR(__xludf.DUMMYFUNCTION("""COMPUTED_VALUE"""),253.92)</f>
        <v>253.92</v>
      </c>
      <c r="E494" s="4">
        <f>IFERROR(__xludf.DUMMYFUNCTION("""COMPUTED_VALUE"""),44998.66666666667)</f>
        <v>44998.66667</v>
      </c>
      <c r="F494" s="1">
        <f>IFERROR(__xludf.DUMMYFUNCTION("""COMPUTED_VALUE"""),106.54)</f>
        <v>106.54</v>
      </c>
      <c r="G494" s="4">
        <f>IFERROR(__xludf.DUMMYFUNCTION("""COMPUTED_VALUE"""),44998.66666666667)</f>
        <v>44998.66667</v>
      </c>
      <c r="H494" s="1">
        <f>IFERROR(__xludf.DUMMYFUNCTION("""COMPUTED_VALUE"""),158.71)</f>
        <v>158.71</v>
      </c>
      <c r="I494" s="5">
        <f t="shared" si="1"/>
        <v>0.01408918721</v>
      </c>
      <c r="K494" s="5">
        <f t="shared" si="2"/>
        <v>0.0270557656</v>
      </c>
      <c r="L494" s="5">
        <f t="shared" si="3"/>
        <v>0.003754458419</v>
      </c>
      <c r="M494" s="5">
        <f t="shared" si="4"/>
        <v>0.01291664041</v>
      </c>
      <c r="Q494" s="5"/>
    </row>
    <row r="495">
      <c r="A495" s="4">
        <f>IFERROR(__xludf.DUMMYFUNCTION("""COMPUTED_VALUE"""),44999.66666666667)</f>
        <v>44999.66667</v>
      </c>
      <c r="B495" s="1">
        <f>IFERROR(__xludf.DUMMYFUNCTION("""COMPUTED_VALUE"""),152.59)</f>
        <v>152.59</v>
      </c>
      <c r="C495" s="4">
        <f>IFERROR(__xludf.DUMMYFUNCTION("""COMPUTED_VALUE"""),44999.66666666667)</f>
        <v>44999.66667</v>
      </c>
      <c r="D495" s="1">
        <f>IFERROR(__xludf.DUMMYFUNCTION("""COMPUTED_VALUE"""),260.79)</f>
        <v>260.79</v>
      </c>
      <c r="E495" s="4">
        <f>IFERROR(__xludf.DUMMYFUNCTION("""COMPUTED_VALUE"""),44999.66666666667)</f>
        <v>44999.66667</v>
      </c>
      <c r="F495" s="1">
        <f>IFERROR(__xludf.DUMMYFUNCTION("""COMPUTED_VALUE"""),106.94)</f>
        <v>106.94</v>
      </c>
      <c r="G495" s="4">
        <f>IFERROR(__xludf.DUMMYFUNCTION("""COMPUTED_VALUE"""),44999.66666666667)</f>
        <v>44999.66667</v>
      </c>
      <c r="H495" s="1">
        <f>IFERROR(__xludf.DUMMYFUNCTION("""COMPUTED_VALUE"""),160.76)</f>
        <v>160.76</v>
      </c>
      <c r="I495" s="5">
        <f t="shared" si="1"/>
        <v>0.002621403762</v>
      </c>
      <c r="K495" s="5">
        <f t="shared" si="2"/>
        <v>0.01783043828</v>
      </c>
      <c r="L495" s="5">
        <f t="shared" si="3"/>
        <v>-0.04974752197</v>
      </c>
      <c r="M495" s="5">
        <f t="shared" si="4"/>
        <v>-0.04329435183</v>
      </c>
      <c r="Q495" s="5"/>
    </row>
    <row r="496">
      <c r="A496" s="4">
        <f>IFERROR(__xludf.DUMMYFUNCTION("""COMPUTED_VALUE"""),45000.66666666667)</f>
        <v>45000.66667</v>
      </c>
      <c r="B496" s="1">
        <f>IFERROR(__xludf.DUMMYFUNCTION("""COMPUTED_VALUE"""),152.99)</f>
        <v>152.99</v>
      </c>
      <c r="C496" s="4">
        <f>IFERROR(__xludf.DUMMYFUNCTION("""COMPUTED_VALUE"""),45000.66666666667)</f>
        <v>45000.66667</v>
      </c>
      <c r="D496" s="1">
        <f>IFERROR(__xludf.DUMMYFUNCTION("""COMPUTED_VALUE"""),265.44)</f>
        <v>265.44</v>
      </c>
      <c r="E496" s="4">
        <f>IFERROR(__xludf.DUMMYFUNCTION("""COMPUTED_VALUE"""),45000.66666666667)</f>
        <v>45000.66667</v>
      </c>
      <c r="F496" s="1">
        <f>IFERROR(__xludf.DUMMYFUNCTION("""COMPUTED_VALUE"""),101.62)</f>
        <v>101.62</v>
      </c>
      <c r="G496" s="4">
        <f>IFERROR(__xludf.DUMMYFUNCTION("""COMPUTED_VALUE"""),45000.66666666667)</f>
        <v>45000.66667</v>
      </c>
      <c r="H496" s="1">
        <f>IFERROR(__xludf.DUMMYFUNCTION("""COMPUTED_VALUE"""),153.8)</f>
        <v>153.8</v>
      </c>
      <c r="I496" s="5">
        <f t="shared" si="1"/>
        <v>0.01869403229</v>
      </c>
      <c r="K496" s="5">
        <f t="shared" si="2"/>
        <v>0.04053646775</v>
      </c>
      <c r="L496" s="5">
        <f t="shared" si="3"/>
        <v>-0.005805943712</v>
      </c>
      <c r="M496" s="5">
        <f t="shared" si="4"/>
        <v>0.003185955787</v>
      </c>
      <c r="Q496" s="5"/>
    </row>
    <row r="497">
      <c r="A497" s="4">
        <f>IFERROR(__xludf.DUMMYFUNCTION("""COMPUTED_VALUE"""),45001.66666666667)</f>
        <v>45001.66667</v>
      </c>
      <c r="B497" s="1">
        <f>IFERROR(__xludf.DUMMYFUNCTION("""COMPUTED_VALUE"""),155.85)</f>
        <v>155.85</v>
      </c>
      <c r="C497" s="4">
        <f>IFERROR(__xludf.DUMMYFUNCTION("""COMPUTED_VALUE"""),45001.66666666667)</f>
        <v>45001.66667</v>
      </c>
      <c r="D497" s="1">
        <f>IFERROR(__xludf.DUMMYFUNCTION("""COMPUTED_VALUE"""),276.2)</f>
        <v>276.2</v>
      </c>
      <c r="E497" s="4">
        <f>IFERROR(__xludf.DUMMYFUNCTION("""COMPUTED_VALUE"""),45001.66666666667)</f>
        <v>45001.66667</v>
      </c>
      <c r="F497" s="1">
        <f>IFERROR(__xludf.DUMMYFUNCTION("""COMPUTED_VALUE"""),101.03)</f>
        <v>101.03</v>
      </c>
      <c r="G497" s="4">
        <f>IFERROR(__xludf.DUMMYFUNCTION("""COMPUTED_VALUE"""),45001.66666666667)</f>
        <v>45001.66667</v>
      </c>
      <c r="H497" s="1">
        <f>IFERROR(__xludf.DUMMYFUNCTION("""COMPUTED_VALUE"""),154.29)</f>
        <v>154.29</v>
      </c>
      <c r="I497" s="5">
        <f t="shared" si="1"/>
        <v>-0.005453962143</v>
      </c>
      <c r="K497" s="5">
        <f t="shared" si="2"/>
        <v>0.01169442433</v>
      </c>
      <c r="L497" s="5">
        <f t="shared" si="3"/>
        <v>-0.0117786796</v>
      </c>
      <c r="M497" s="5">
        <f t="shared" si="4"/>
        <v>-0.01263853782</v>
      </c>
      <c r="Q497" s="5"/>
    </row>
    <row r="498">
      <c r="A498" s="4">
        <f>IFERROR(__xludf.DUMMYFUNCTION("""COMPUTED_VALUE"""),45002.66666666667)</f>
        <v>45002.66667</v>
      </c>
      <c r="B498" s="1">
        <f>IFERROR(__xludf.DUMMYFUNCTION("""COMPUTED_VALUE"""),155.0)</f>
        <v>155</v>
      </c>
      <c r="C498" s="4">
        <f>IFERROR(__xludf.DUMMYFUNCTION("""COMPUTED_VALUE"""),45002.66666666667)</f>
        <v>45002.66667</v>
      </c>
      <c r="D498" s="1">
        <f>IFERROR(__xludf.DUMMYFUNCTION("""COMPUTED_VALUE"""),279.43)</f>
        <v>279.43</v>
      </c>
      <c r="E498" s="4">
        <f>IFERROR(__xludf.DUMMYFUNCTION("""COMPUTED_VALUE"""),45002.66666666667)</f>
        <v>45002.66667</v>
      </c>
      <c r="F498" s="1">
        <f>IFERROR(__xludf.DUMMYFUNCTION("""COMPUTED_VALUE"""),99.84)</f>
        <v>99.84</v>
      </c>
      <c r="G498" s="4">
        <f>IFERROR(__xludf.DUMMYFUNCTION("""COMPUTED_VALUE"""),45002.66666666667)</f>
        <v>45002.66667</v>
      </c>
      <c r="H498" s="1">
        <f>IFERROR(__xludf.DUMMYFUNCTION("""COMPUTED_VALUE"""),152.34)</f>
        <v>152.34</v>
      </c>
      <c r="I498" s="5">
        <f t="shared" si="1"/>
        <v>0.01548387097</v>
      </c>
      <c r="K498" s="5">
        <f t="shared" si="2"/>
        <v>-0.02576673943</v>
      </c>
      <c r="L498" s="5">
        <f t="shared" si="3"/>
        <v>0.02614182692</v>
      </c>
      <c r="M498" s="5">
        <f t="shared" si="4"/>
        <v>0.01470395169</v>
      </c>
      <c r="Q498" s="5"/>
    </row>
    <row r="499">
      <c r="A499" s="4">
        <f>IFERROR(__xludf.DUMMYFUNCTION("""COMPUTED_VALUE"""),45005.66666666667)</f>
        <v>45005.66667</v>
      </c>
      <c r="B499" s="1">
        <f>IFERROR(__xludf.DUMMYFUNCTION("""COMPUTED_VALUE"""),157.4)</f>
        <v>157.4</v>
      </c>
      <c r="C499" s="4">
        <f>IFERROR(__xludf.DUMMYFUNCTION("""COMPUTED_VALUE"""),45005.66666666667)</f>
        <v>45005.66667</v>
      </c>
      <c r="D499" s="1">
        <f>IFERROR(__xludf.DUMMYFUNCTION("""COMPUTED_VALUE"""),272.23)</f>
        <v>272.23</v>
      </c>
      <c r="E499" s="4">
        <f>IFERROR(__xludf.DUMMYFUNCTION("""COMPUTED_VALUE"""),45005.66666666667)</f>
        <v>45005.66667</v>
      </c>
      <c r="F499" s="1">
        <f>IFERROR(__xludf.DUMMYFUNCTION("""COMPUTED_VALUE"""),102.45)</f>
        <v>102.45</v>
      </c>
      <c r="G499" s="4">
        <f>IFERROR(__xludf.DUMMYFUNCTION("""COMPUTED_VALUE"""),45005.66666666667)</f>
        <v>45005.66667</v>
      </c>
      <c r="H499" s="1">
        <f>IFERROR(__xludf.DUMMYFUNCTION("""COMPUTED_VALUE"""),154.58)</f>
        <v>154.58</v>
      </c>
      <c r="I499" s="5">
        <f t="shared" si="1"/>
        <v>0.01194409149</v>
      </c>
      <c r="K499" s="5">
        <f t="shared" si="2"/>
        <v>0.005693714873</v>
      </c>
      <c r="L499" s="5">
        <f t="shared" si="3"/>
        <v>0.04480234261</v>
      </c>
      <c r="M499" s="5">
        <f t="shared" si="4"/>
        <v>0.03059904257</v>
      </c>
      <c r="Q499" s="5"/>
    </row>
    <row r="500">
      <c r="A500" s="4">
        <f>IFERROR(__xludf.DUMMYFUNCTION("""COMPUTED_VALUE"""),45006.66666666667)</f>
        <v>45006.66667</v>
      </c>
      <c r="B500" s="1">
        <f>IFERROR(__xludf.DUMMYFUNCTION("""COMPUTED_VALUE"""),159.28)</f>
        <v>159.28</v>
      </c>
      <c r="C500" s="4">
        <f>IFERROR(__xludf.DUMMYFUNCTION("""COMPUTED_VALUE"""),45006.66666666667)</f>
        <v>45006.66667</v>
      </c>
      <c r="D500" s="1">
        <f>IFERROR(__xludf.DUMMYFUNCTION("""COMPUTED_VALUE"""),273.78)</f>
        <v>273.78</v>
      </c>
      <c r="E500" s="4">
        <f>IFERROR(__xludf.DUMMYFUNCTION("""COMPUTED_VALUE"""),45006.66666666667)</f>
        <v>45006.66667</v>
      </c>
      <c r="F500" s="1">
        <f>IFERROR(__xludf.DUMMYFUNCTION("""COMPUTED_VALUE"""),107.04)</f>
        <v>107.04</v>
      </c>
      <c r="G500" s="4">
        <f>IFERROR(__xludf.DUMMYFUNCTION("""COMPUTED_VALUE"""),45006.66666666667)</f>
        <v>45006.66667</v>
      </c>
      <c r="H500" s="1">
        <f>IFERROR(__xludf.DUMMYFUNCTION("""COMPUTED_VALUE"""),159.31)</f>
        <v>159.31</v>
      </c>
      <c r="I500" s="5">
        <f t="shared" si="1"/>
        <v>-0.009103465595</v>
      </c>
      <c r="K500" s="5">
        <f t="shared" si="2"/>
        <v>-0.005442325955</v>
      </c>
      <c r="L500" s="5">
        <f t="shared" si="3"/>
        <v>-0.02288863976</v>
      </c>
      <c r="M500" s="5">
        <f t="shared" si="4"/>
        <v>-0.02033770636</v>
      </c>
      <c r="Q500" s="5"/>
    </row>
    <row r="501">
      <c r="A501" s="4">
        <f>IFERROR(__xludf.DUMMYFUNCTION("""COMPUTED_VALUE"""),45007.66666666667)</f>
        <v>45007.66667</v>
      </c>
      <c r="B501" s="1">
        <f>IFERROR(__xludf.DUMMYFUNCTION("""COMPUTED_VALUE"""),157.83)</f>
        <v>157.83</v>
      </c>
      <c r="C501" s="4">
        <f>IFERROR(__xludf.DUMMYFUNCTION("""COMPUTED_VALUE"""),45007.66666666667)</f>
        <v>45007.66667</v>
      </c>
      <c r="D501" s="1">
        <f>IFERROR(__xludf.DUMMYFUNCTION("""COMPUTED_VALUE"""),272.29)</f>
        <v>272.29</v>
      </c>
      <c r="E501" s="4">
        <f>IFERROR(__xludf.DUMMYFUNCTION("""COMPUTED_VALUE"""),45007.66666666667)</f>
        <v>45007.66667</v>
      </c>
      <c r="F501" s="1">
        <f>IFERROR(__xludf.DUMMYFUNCTION("""COMPUTED_VALUE"""),104.59)</f>
        <v>104.59</v>
      </c>
      <c r="G501" s="4">
        <f>IFERROR(__xludf.DUMMYFUNCTION("""COMPUTED_VALUE"""),45007.66666666667)</f>
        <v>45007.66667</v>
      </c>
      <c r="H501" s="1">
        <f>IFERROR(__xludf.DUMMYFUNCTION("""COMPUTED_VALUE"""),156.07)</f>
        <v>156.07</v>
      </c>
      <c r="I501" s="5">
        <f t="shared" si="1"/>
        <v>0.006969524172</v>
      </c>
      <c r="K501" s="5">
        <f t="shared" si="2"/>
        <v>0.01972162033</v>
      </c>
      <c r="L501" s="5">
        <f t="shared" si="3"/>
        <v>-0.01128214935</v>
      </c>
      <c r="M501" s="5">
        <f t="shared" si="4"/>
        <v>-0.00993144102</v>
      </c>
      <c r="Q501" s="5"/>
    </row>
    <row r="502">
      <c r="A502" s="4">
        <f>IFERROR(__xludf.DUMMYFUNCTION("""COMPUTED_VALUE"""),45008.66666666667)</f>
        <v>45008.66667</v>
      </c>
      <c r="B502" s="1">
        <f>IFERROR(__xludf.DUMMYFUNCTION("""COMPUTED_VALUE"""),158.93)</f>
        <v>158.93</v>
      </c>
      <c r="C502" s="4">
        <f>IFERROR(__xludf.DUMMYFUNCTION("""COMPUTED_VALUE"""),45008.66666666667)</f>
        <v>45008.66667</v>
      </c>
      <c r="D502" s="1">
        <f>IFERROR(__xludf.DUMMYFUNCTION("""COMPUTED_VALUE"""),277.66)</f>
        <v>277.66</v>
      </c>
      <c r="E502" s="4">
        <f>IFERROR(__xludf.DUMMYFUNCTION("""COMPUTED_VALUE"""),45008.66666666667)</f>
        <v>45008.66667</v>
      </c>
      <c r="F502" s="1">
        <f>IFERROR(__xludf.DUMMYFUNCTION("""COMPUTED_VALUE"""),103.41)</f>
        <v>103.41</v>
      </c>
      <c r="G502" s="4">
        <f>IFERROR(__xludf.DUMMYFUNCTION("""COMPUTED_VALUE"""),45008.66666666667)</f>
        <v>45008.66667</v>
      </c>
      <c r="H502" s="1">
        <f>IFERROR(__xludf.DUMMYFUNCTION("""COMPUTED_VALUE"""),154.52)</f>
        <v>154.52</v>
      </c>
      <c r="I502" s="5">
        <f t="shared" si="1"/>
        <v>0.008305543321</v>
      </c>
      <c r="K502" s="5">
        <f t="shared" si="2"/>
        <v>0.01048044371</v>
      </c>
      <c r="L502" s="5">
        <f t="shared" si="3"/>
        <v>0.001160429359</v>
      </c>
      <c r="M502" s="5">
        <f t="shared" si="4"/>
        <v>0.009966347398</v>
      </c>
      <c r="Q502" s="5"/>
    </row>
    <row r="503">
      <c r="A503" s="4">
        <f>IFERROR(__xludf.DUMMYFUNCTION("""COMPUTED_VALUE"""),45009.66666666667)</f>
        <v>45009.66667</v>
      </c>
      <c r="B503" s="1">
        <f>IFERROR(__xludf.DUMMYFUNCTION("""COMPUTED_VALUE"""),160.25)</f>
        <v>160.25</v>
      </c>
      <c r="C503" s="4">
        <f>IFERROR(__xludf.DUMMYFUNCTION("""COMPUTED_VALUE"""),45009.66666666667)</f>
        <v>45009.66667</v>
      </c>
      <c r="D503" s="1">
        <f>IFERROR(__xludf.DUMMYFUNCTION("""COMPUTED_VALUE"""),280.57)</f>
        <v>280.57</v>
      </c>
      <c r="E503" s="4">
        <f>IFERROR(__xludf.DUMMYFUNCTION("""COMPUTED_VALUE"""),45009.66666666667)</f>
        <v>45009.66667</v>
      </c>
      <c r="F503" s="1">
        <f>IFERROR(__xludf.DUMMYFUNCTION("""COMPUTED_VALUE"""),103.53)</f>
        <v>103.53</v>
      </c>
      <c r="G503" s="4">
        <f>IFERROR(__xludf.DUMMYFUNCTION("""COMPUTED_VALUE"""),45009.66666666667)</f>
        <v>45009.66667</v>
      </c>
      <c r="H503" s="1">
        <f>IFERROR(__xludf.DUMMYFUNCTION("""COMPUTED_VALUE"""),156.06)</f>
        <v>156.06</v>
      </c>
      <c r="I503" s="5">
        <f t="shared" si="1"/>
        <v>-0.01229329173</v>
      </c>
      <c r="K503" s="5">
        <f t="shared" si="2"/>
        <v>-0.01493388459</v>
      </c>
      <c r="L503" s="5">
        <f t="shared" si="3"/>
        <v>0.02192601178</v>
      </c>
      <c r="M503" s="5">
        <f t="shared" si="4"/>
        <v>0.01018838908</v>
      </c>
      <c r="Q503" s="5"/>
    </row>
    <row r="504">
      <c r="A504" s="4">
        <f>IFERROR(__xludf.DUMMYFUNCTION("""COMPUTED_VALUE"""),45012.66666666667)</f>
        <v>45012.66667</v>
      </c>
      <c r="B504" s="1">
        <f>IFERROR(__xludf.DUMMYFUNCTION("""COMPUTED_VALUE"""),158.28)</f>
        <v>158.28</v>
      </c>
      <c r="C504" s="4">
        <f>IFERROR(__xludf.DUMMYFUNCTION("""COMPUTED_VALUE"""),45012.66666666667)</f>
        <v>45012.66667</v>
      </c>
      <c r="D504" s="1">
        <f>IFERROR(__xludf.DUMMYFUNCTION("""COMPUTED_VALUE"""),276.38)</f>
        <v>276.38</v>
      </c>
      <c r="E504" s="4">
        <f>IFERROR(__xludf.DUMMYFUNCTION("""COMPUTED_VALUE"""),45012.66666666667)</f>
        <v>45012.66667</v>
      </c>
      <c r="F504" s="1">
        <f>IFERROR(__xludf.DUMMYFUNCTION("""COMPUTED_VALUE"""),105.8)</f>
        <v>105.8</v>
      </c>
      <c r="G504" s="4">
        <f>IFERROR(__xludf.DUMMYFUNCTION("""COMPUTED_VALUE"""),45012.66666666667)</f>
        <v>45012.66667</v>
      </c>
      <c r="H504" s="1">
        <f>IFERROR(__xludf.DUMMYFUNCTION("""COMPUTED_VALUE"""),157.65)</f>
        <v>157.65</v>
      </c>
      <c r="I504" s="5">
        <f t="shared" si="1"/>
        <v>-0.003980288097</v>
      </c>
      <c r="K504" s="5">
        <f t="shared" si="2"/>
        <v>-0.004160937839</v>
      </c>
      <c r="L504" s="5">
        <f t="shared" si="3"/>
        <v>0.01247637051</v>
      </c>
      <c r="M504" s="5">
        <f t="shared" si="4"/>
        <v>0.01167142404</v>
      </c>
      <c r="Q504" s="5"/>
    </row>
    <row r="505">
      <c r="A505" s="4">
        <f>IFERROR(__xludf.DUMMYFUNCTION("""COMPUTED_VALUE"""),45013.66666666667)</f>
        <v>45013.66667</v>
      </c>
      <c r="B505" s="1">
        <f>IFERROR(__xludf.DUMMYFUNCTION("""COMPUTED_VALUE"""),157.65)</f>
        <v>157.65</v>
      </c>
      <c r="C505" s="4">
        <f>IFERROR(__xludf.DUMMYFUNCTION("""COMPUTED_VALUE"""),45013.66666666667)</f>
        <v>45013.66667</v>
      </c>
      <c r="D505" s="1">
        <f>IFERROR(__xludf.DUMMYFUNCTION("""COMPUTED_VALUE"""),275.23)</f>
        <v>275.23</v>
      </c>
      <c r="E505" s="4">
        <f>IFERROR(__xludf.DUMMYFUNCTION("""COMPUTED_VALUE"""),45013.66666666667)</f>
        <v>45013.66667</v>
      </c>
      <c r="F505" s="1">
        <f>IFERROR(__xludf.DUMMYFUNCTION("""COMPUTED_VALUE"""),107.12)</f>
        <v>107.12</v>
      </c>
      <c r="G505" s="4">
        <f>IFERROR(__xludf.DUMMYFUNCTION("""COMPUTED_VALUE"""),45013.66666666667)</f>
        <v>45013.66667</v>
      </c>
      <c r="H505" s="1">
        <f>IFERROR(__xludf.DUMMYFUNCTION("""COMPUTED_VALUE"""),159.49)</f>
        <v>159.49</v>
      </c>
      <c r="I505" s="5">
        <f t="shared" si="1"/>
        <v>0.01979067555</v>
      </c>
      <c r="K505" s="5">
        <f t="shared" si="2"/>
        <v>0.01918395524</v>
      </c>
      <c r="L505" s="5">
        <f t="shared" si="3"/>
        <v>0.01717699776</v>
      </c>
      <c r="M505" s="5">
        <f t="shared" si="4"/>
        <v>0.008589880243</v>
      </c>
      <c r="Q505" s="5"/>
    </row>
    <row r="506">
      <c r="A506" s="4">
        <f>IFERROR(__xludf.DUMMYFUNCTION("""COMPUTED_VALUE"""),45014.66666666667)</f>
        <v>45014.66667</v>
      </c>
      <c r="B506" s="1">
        <f>IFERROR(__xludf.DUMMYFUNCTION("""COMPUTED_VALUE"""),160.77)</f>
        <v>160.77</v>
      </c>
      <c r="C506" s="4">
        <f>IFERROR(__xludf.DUMMYFUNCTION("""COMPUTED_VALUE"""),45014.66666666667)</f>
        <v>45014.66667</v>
      </c>
      <c r="D506" s="1">
        <f>IFERROR(__xludf.DUMMYFUNCTION("""COMPUTED_VALUE"""),280.51)</f>
        <v>280.51</v>
      </c>
      <c r="E506" s="4">
        <f>IFERROR(__xludf.DUMMYFUNCTION("""COMPUTED_VALUE"""),45014.66666666667)</f>
        <v>45014.66667</v>
      </c>
      <c r="F506" s="1">
        <f>IFERROR(__xludf.DUMMYFUNCTION("""COMPUTED_VALUE"""),108.96)</f>
        <v>108.96</v>
      </c>
      <c r="G506" s="4">
        <f>IFERROR(__xludf.DUMMYFUNCTION("""COMPUTED_VALUE"""),45014.66666666667)</f>
        <v>45014.66667</v>
      </c>
      <c r="H506" s="1">
        <f>IFERROR(__xludf.DUMMYFUNCTION("""COMPUTED_VALUE"""),160.86)</f>
        <v>160.86</v>
      </c>
      <c r="I506" s="5">
        <f t="shared" si="1"/>
        <v>0.009889904833</v>
      </c>
      <c r="K506" s="5">
        <f t="shared" si="2"/>
        <v>0.01261987095</v>
      </c>
      <c r="L506" s="5">
        <f t="shared" si="3"/>
        <v>0.004864170338</v>
      </c>
      <c r="M506" s="5">
        <f t="shared" si="4"/>
        <v>0.009511376352</v>
      </c>
      <c r="Q506" s="5"/>
    </row>
    <row r="507">
      <c r="A507" s="4">
        <f>IFERROR(__xludf.DUMMYFUNCTION("""COMPUTED_VALUE"""),45015.66666666667)</f>
        <v>45015.66667</v>
      </c>
      <c r="B507" s="1">
        <f>IFERROR(__xludf.DUMMYFUNCTION("""COMPUTED_VALUE"""),162.36)</f>
        <v>162.36</v>
      </c>
      <c r="C507" s="4">
        <f>IFERROR(__xludf.DUMMYFUNCTION("""COMPUTED_VALUE"""),45015.66666666667)</f>
        <v>45015.66667</v>
      </c>
      <c r="D507" s="1">
        <f>IFERROR(__xludf.DUMMYFUNCTION("""COMPUTED_VALUE"""),284.05)</f>
        <v>284.05</v>
      </c>
      <c r="E507" s="4">
        <f>IFERROR(__xludf.DUMMYFUNCTION("""COMPUTED_VALUE"""),45015.66666666667)</f>
        <v>45015.66667</v>
      </c>
      <c r="F507" s="1">
        <f>IFERROR(__xludf.DUMMYFUNCTION("""COMPUTED_VALUE"""),109.49)</f>
        <v>109.49</v>
      </c>
      <c r="G507" s="4">
        <f>IFERROR(__xludf.DUMMYFUNCTION("""COMPUTED_VALUE"""),45015.66666666667)</f>
        <v>45015.66667</v>
      </c>
      <c r="H507" s="1">
        <f>IFERROR(__xludf.DUMMYFUNCTION("""COMPUTED_VALUE"""),162.39)</f>
        <v>162.39</v>
      </c>
      <c r="I507" s="5">
        <f t="shared" si="1"/>
        <v>0.01564424735</v>
      </c>
      <c r="K507" s="5">
        <f t="shared" si="2"/>
        <v>0.01496215455</v>
      </c>
      <c r="L507" s="5">
        <f t="shared" si="3"/>
        <v>0.00155265321</v>
      </c>
      <c r="M507" s="5">
        <f t="shared" si="4"/>
        <v>0.004741671285</v>
      </c>
      <c r="Q507" s="5"/>
    </row>
    <row r="508">
      <c r="A508" s="4">
        <f>IFERROR(__xludf.DUMMYFUNCTION("""COMPUTED_VALUE"""),45016.66666666667)</f>
        <v>45016.66667</v>
      </c>
      <c r="B508" s="1">
        <f>IFERROR(__xludf.DUMMYFUNCTION("""COMPUTED_VALUE"""),164.9)</f>
        <v>164.9</v>
      </c>
      <c r="C508" s="4">
        <f>IFERROR(__xludf.DUMMYFUNCTION("""COMPUTED_VALUE"""),45016.66666666667)</f>
        <v>45016.66667</v>
      </c>
      <c r="D508" s="1">
        <f>IFERROR(__xludf.DUMMYFUNCTION("""COMPUTED_VALUE"""),288.3)</f>
        <v>288.3</v>
      </c>
      <c r="E508" s="4">
        <f>IFERROR(__xludf.DUMMYFUNCTION("""COMPUTED_VALUE"""),45016.66666666667)</f>
        <v>45016.66667</v>
      </c>
      <c r="F508" s="1">
        <f>IFERROR(__xludf.DUMMYFUNCTION("""COMPUTED_VALUE"""),109.66)</f>
        <v>109.66</v>
      </c>
      <c r="G508" s="4">
        <f>IFERROR(__xludf.DUMMYFUNCTION("""COMPUTED_VALUE"""),45016.66666666667)</f>
        <v>45016.66667</v>
      </c>
      <c r="H508" s="1">
        <f>IFERROR(__xludf.DUMMYFUNCTION("""COMPUTED_VALUE"""),163.16)</f>
        <v>163.16</v>
      </c>
      <c r="I508" s="5">
        <f t="shared" si="1"/>
        <v>0.007701637356</v>
      </c>
      <c r="K508" s="5">
        <f t="shared" si="2"/>
        <v>-0.003711411724</v>
      </c>
      <c r="L508" s="5">
        <f t="shared" si="3"/>
        <v>0.05900054715</v>
      </c>
      <c r="M508" s="5">
        <f t="shared" si="4"/>
        <v>0.04161559206</v>
      </c>
      <c r="Q508" s="5"/>
    </row>
    <row r="509">
      <c r="A509" s="4">
        <f>IFERROR(__xludf.DUMMYFUNCTION("""COMPUTED_VALUE"""),45019.66666666667)</f>
        <v>45019.66667</v>
      </c>
      <c r="B509" s="1">
        <f>IFERROR(__xludf.DUMMYFUNCTION("""COMPUTED_VALUE"""),166.17)</f>
        <v>166.17</v>
      </c>
      <c r="C509" s="4">
        <f>IFERROR(__xludf.DUMMYFUNCTION("""COMPUTED_VALUE"""),45019.66666666667)</f>
        <v>45019.66667</v>
      </c>
      <c r="D509" s="1">
        <f>IFERROR(__xludf.DUMMYFUNCTION("""COMPUTED_VALUE"""),287.23)</f>
        <v>287.23</v>
      </c>
      <c r="E509" s="4">
        <f>IFERROR(__xludf.DUMMYFUNCTION("""COMPUTED_VALUE"""),45019.66666666667)</f>
        <v>45019.66667</v>
      </c>
      <c r="F509" s="1">
        <f>IFERROR(__xludf.DUMMYFUNCTION("""COMPUTED_VALUE"""),116.13)</f>
        <v>116.13</v>
      </c>
      <c r="G509" s="4">
        <f>IFERROR(__xludf.DUMMYFUNCTION("""COMPUTED_VALUE"""),45019.66666666667)</f>
        <v>45019.66667</v>
      </c>
      <c r="H509" s="1">
        <f>IFERROR(__xludf.DUMMYFUNCTION("""COMPUTED_VALUE"""),169.95)</f>
        <v>169.95</v>
      </c>
      <c r="I509" s="5">
        <f t="shared" si="1"/>
        <v>-0.003249684058</v>
      </c>
      <c r="K509" s="5">
        <f t="shared" si="2"/>
        <v>-0.000174076524</v>
      </c>
      <c r="L509" s="5">
        <f t="shared" si="3"/>
        <v>-0.009558253681</v>
      </c>
      <c r="M509" s="5">
        <f t="shared" si="4"/>
        <v>-0.005354516034</v>
      </c>
      <c r="Q509" s="5"/>
    </row>
    <row r="510">
      <c r="A510" s="4">
        <f>IFERROR(__xludf.DUMMYFUNCTION("""COMPUTED_VALUE"""),45020.66666666667)</f>
        <v>45020.66667</v>
      </c>
      <c r="B510" s="1">
        <f>IFERROR(__xludf.DUMMYFUNCTION("""COMPUTED_VALUE"""),165.63)</f>
        <v>165.63</v>
      </c>
      <c r="C510" s="4">
        <f>IFERROR(__xludf.DUMMYFUNCTION("""COMPUTED_VALUE"""),45020.66666666667)</f>
        <v>45020.66667</v>
      </c>
      <c r="D510" s="1">
        <f>IFERROR(__xludf.DUMMYFUNCTION("""COMPUTED_VALUE"""),287.18)</f>
        <v>287.18</v>
      </c>
      <c r="E510" s="4">
        <f>IFERROR(__xludf.DUMMYFUNCTION("""COMPUTED_VALUE"""),45020.66666666667)</f>
        <v>45020.66667</v>
      </c>
      <c r="F510" s="1">
        <f>IFERROR(__xludf.DUMMYFUNCTION("""COMPUTED_VALUE"""),115.02)</f>
        <v>115.02</v>
      </c>
      <c r="G510" s="4">
        <f>IFERROR(__xludf.DUMMYFUNCTION("""COMPUTED_VALUE"""),45020.66666666667)</f>
        <v>45020.66667</v>
      </c>
      <c r="H510" s="1">
        <f>IFERROR(__xludf.DUMMYFUNCTION("""COMPUTED_VALUE"""),169.04)</f>
        <v>169.04</v>
      </c>
      <c r="I510" s="5">
        <f t="shared" si="1"/>
        <v>-0.0112902252</v>
      </c>
      <c r="K510" s="5">
        <f t="shared" si="2"/>
        <v>-0.009889268055</v>
      </c>
      <c r="L510" s="5">
        <f t="shared" si="3"/>
        <v>0.01712745609</v>
      </c>
      <c r="M510" s="5">
        <f t="shared" si="4"/>
        <v>0.00496923805</v>
      </c>
      <c r="Q510" s="5"/>
    </row>
    <row r="511">
      <c r="A511" s="4">
        <f>IFERROR(__xludf.DUMMYFUNCTION("""COMPUTED_VALUE"""),45021.66666666667)</f>
        <v>45021.66667</v>
      </c>
      <c r="B511" s="1">
        <f>IFERROR(__xludf.DUMMYFUNCTION("""COMPUTED_VALUE"""),163.76)</f>
        <v>163.76</v>
      </c>
      <c r="C511" s="4">
        <f>IFERROR(__xludf.DUMMYFUNCTION("""COMPUTED_VALUE"""),45021.66666666667)</f>
        <v>45021.66667</v>
      </c>
      <c r="D511" s="1">
        <f>IFERROR(__xludf.DUMMYFUNCTION("""COMPUTED_VALUE"""),284.34)</f>
        <v>284.34</v>
      </c>
      <c r="E511" s="4">
        <f>IFERROR(__xludf.DUMMYFUNCTION("""COMPUTED_VALUE"""),45021.66666666667)</f>
        <v>45021.66667</v>
      </c>
      <c r="F511" s="1">
        <f>IFERROR(__xludf.DUMMYFUNCTION("""COMPUTED_VALUE"""),116.99)</f>
        <v>116.99</v>
      </c>
      <c r="G511" s="4">
        <f>IFERROR(__xludf.DUMMYFUNCTION("""COMPUTED_VALUE"""),45021.66666666667)</f>
        <v>45021.66667</v>
      </c>
      <c r="H511" s="1">
        <f>IFERROR(__xludf.DUMMYFUNCTION("""COMPUTED_VALUE"""),169.88)</f>
        <v>169.88</v>
      </c>
      <c r="I511" s="5">
        <f t="shared" si="1"/>
        <v>0.005495847582</v>
      </c>
      <c r="K511" s="5">
        <f t="shared" si="2"/>
        <v>0.02553281283</v>
      </c>
      <c r="L511" s="5">
        <f t="shared" si="3"/>
        <v>-0.0165826139</v>
      </c>
      <c r="M511" s="5">
        <f t="shared" si="4"/>
        <v>-0.01312691312</v>
      </c>
      <c r="Q511" s="5"/>
    </row>
    <row r="512">
      <c r="A512" s="4">
        <f>IFERROR(__xludf.DUMMYFUNCTION("""COMPUTED_VALUE"""),45022.66666666667)</f>
        <v>45022.66667</v>
      </c>
      <c r="B512" s="1">
        <f>IFERROR(__xludf.DUMMYFUNCTION("""COMPUTED_VALUE"""),164.66)</f>
        <v>164.66</v>
      </c>
      <c r="C512" s="4">
        <f>IFERROR(__xludf.DUMMYFUNCTION("""COMPUTED_VALUE"""),45022.66666666667)</f>
        <v>45022.66667</v>
      </c>
      <c r="D512" s="1">
        <f>IFERROR(__xludf.DUMMYFUNCTION("""COMPUTED_VALUE"""),291.6)</f>
        <v>291.6</v>
      </c>
      <c r="E512" s="4">
        <f>IFERROR(__xludf.DUMMYFUNCTION("""COMPUTED_VALUE"""),45022.66666666667)</f>
        <v>45022.66667</v>
      </c>
      <c r="F512" s="1">
        <f>IFERROR(__xludf.DUMMYFUNCTION("""COMPUTED_VALUE"""),115.05)</f>
        <v>115.05</v>
      </c>
      <c r="G512" s="4">
        <f>IFERROR(__xludf.DUMMYFUNCTION("""COMPUTED_VALUE"""),45022.66666666667)</f>
        <v>45022.66667</v>
      </c>
      <c r="H512" s="1">
        <f>IFERROR(__xludf.DUMMYFUNCTION("""COMPUTED_VALUE"""),167.65)</f>
        <v>167.65</v>
      </c>
      <c r="I512" s="5">
        <f t="shared" si="1"/>
        <v>-0.01597230657</v>
      </c>
      <c r="K512" s="5">
        <f t="shared" si="2"/>
        <v>-0.007578875171</v>
      </c>
      <c r="L512" s="5">
        <f t="shared" si="3"/>
        <v>-0.00443285528</v>
      </c>
      <c r="M512" s="5">
        <f t="shared" si="4"/>
        <v>0.003817476886</v>
      </c>
      <c r="Q512" s="5"/>
    </row>
    <row r="513">
      <c r="A513" s="4">
        <f>IFERROR(__xludf.DUMMYFUNCTION("""COMPUTED_VALUE"""),45026.66666666667)</f>
        <v>45026.66667</v>
      </c>
      <c r="B513" s="1">
        <f>IFERROR(__xludf.DUMMYFUNCTION("""COMPUTED_VALUE"""),162.03)</f>
        <v>162.03</v>
      </c>
      <c r="C513" s="4">
        <f>IFERROR(__xludf.DUMMYFUNCTION("""COMPUTED_VALUE"""),45026.66666666667)</f>
        <v>45026.66667</v>
      </c>
      <c r="D513" s="1">
        <f>IFERROR(__xludf.DUMMYFUNCTION("""COMPUTED_VALUE"""),289.39)</f>
        <v>289.39</v>
      </c>
      <c r="E513" s="4">
        <f>IFERROR(__xludf.DUMMYFUNCTION("""COMPUTED_VALUE"""),45026.66666666667)</f>
        <v>45026.66667</v>
      </c>
      <c r="F513" s="1">
        <f>IFERROR(__xludf.DUMMYFUNCTION("""COMPUTED_VALUE"""),114.54)</f>
        <v>114.54</v>
      </c>
      <c r="G513" s="4">
        <f>IFERROR(__xludf.DUMMYFUNCTION("""COMPUTED_VALUE"""),45026.66666666667)</f>
        <v>45026.66667</v>
      </c>
      <c r="H513" s="1">
        <f>IFERROR(__xludf.DUMMYFUNCTION("""COMPUTED_VALUE"""),168.29)</f>
        <v>168.29</v>
      </c>
      <c r="I513" s="5">
        <f t="shared" si="1"/>
        <v>-0.007591186817</v>
      </c>
      <c r="K513" s="5">
        <f t="shared" si="2"/>
        <v>-0.0226683714</v>
      </c>
      <c r="L513" s="5">
        <f t="shared" si="3"/>
        <v>0.007071765322</v>
      </c>
      <c r="M513" s="5">
        <f t="shared" si="4"/>
        <v>0.005526175055</v>
      </c>
      <c r="Q513" s="5"/>
    </row>
    <row r="514">
      <c r="A514" s="4">
        <f>IFERROR(__xludf.DUMMYFUNCTION("""COMPUTED_VALUE"""),45027.66666666667)</f>
        <v>45027.66667</v>
      </c>
      <c r="B514" s="1">
        <f>IFERROR(__xludf.DUMMYFUNCTION("""COMPUTED_VALUE"""),160.8)</f>
        <v>160.8</v>
      </c>
      <c r="C514" s="4">
        <f>IFERROR(__xludf.DUMMYFUNCTION("""COMPUTED_VALUE"""),45027.66666666667)</f>
        <v>45027.66667</v>
      </c>
      <c r="D514" s="1">
        <f>IFERROR(__xludf.DUMMYFUNCTION("""COMPUTED_VALUE"""),282.83)</f>
        <v>282.83</v>
      </c>
      <c r="E514" s="4">
        <f>IFERROR(__xludf.DUMMYFUNCTION("""COMPUTED_VALUE"""),45027.66666666667)</f>
        <v>45027.66667</v>
      </c>
      <c r="F514" s="1">
        <f>IFERROR(__xludf.DUMMYFUNCTION("""COMPUTED_VALUE"""),115.35)</f>
        <v>115.35</v>
      </c>
      <c r="G514" s="4">
        <f>IFERROR(__xludf.DUMMYFUNCTION("""COMPUTED_VALUE"""),45027.66666666667)</f>
        <v>45027.66667</v>
      </c>
      <c r="H514" s="1">
        <f>IFERROR(__xludf.DUMMYFUNCTION("""COMPUTED_VALUE"""),169.22)</f>
        <v>169.22</v>
      </c>
      <c r="I514" s="5">
        <f t="shared" si="1"/>
        <v>-0.004353233831</v>
      </c>
      <c r="K514" s="5">
        <f t="shared" si="2"/>
        <v>0.002333557261</v>
      </c>
      <c r="L514" s="5">
        <f t="shared" si="3"/>
        <v>-0.001040312094</v>
      </c>
      <c r="M514" s="5">
        <f t="shared" si="4"/>
        <v>0.00354568018</v>
      </c>
      <c r="Q514" s="5"/>
    </row>
    <row r="515">
      <c r="A515" s="4">
        <f>IFERROR(__xludf.DUMMYFUNCTION("""COMPUTED_VALUE"""),45028.66666666667)</f>
        <v>45028.66667</v>
      </c>
      <c r="B515" s="1">
        <f>IFERROR(__xludf.DUMMYFUNCTION("""COMPUTED_VALUE"""),160.1)</f>
        <v>160.1</v>
      </c>
      <c r="C515" s="4">
        <f>IFERROR(__xludf.DUMMYFUNCTION("""COMPUTED_VALUE"""),45028.66666666667)</f>
        <v>45028.66667</v>
      </c>
      <c r="D515" s="1">
        <f>IFERROR(__xludf.DUMMYFUNCTION("""COMPUTED_VALUE"""),283.49)</f>
        <v>283.49</v>
      </c>
      <c r="E515" s="4">
        <f>IFERROR(__xludf.DUMMYFUNCTION("""COMPUTED_VALUE"""),45028.66666666667)</f>
        <v>45028.66667</v>
      </c>
      <c r="F515" s="1">
        <f>IFERROR(__xludf.DUMMYFUNCTION("""COMPUTED_VALUE"""),115.23)</f>
        <v>115.23</v>
      </c>
      <c r="G515" s="4">
        <f>IFERROR(__xludf.DUMMYFUNCTION("""COMPUTED_VALUE"""),45028.66666666667)</f>
        <v>45028.66667</v>
      </c>
      <c r="H515" s="1">
        <f>IFERROR(__xludf.DUMMYFUNCTION("""COMPUTED_VALUE"""),169.82)</f>
        <v>169.82</v>
      </c>
      <c r="I515" s="5">
        <f t="shared" si="1"/>
        <v>0.0341036852</v>
      </c>
      <c r="K515" s="5">
        <f t="shared" si="2"/>
        <v>0.02239937917</v>
      </c>
      <c r="L515" s="5">
        <f t="shared" si="3"/>
        <v>0.004686279615</v>
      </c>
      <c r="M515" s="5">
        <f t="shared" si="4"/>
        <v>0.01336709457</v>
      </c>
      <c r="Q515" s="5"/>
    </row>
    <row r="516">
      <c r="A516" s="4">
        <f>IFERROR(__xludf.DUMMYFUNCTION("""COMPUTED_VALUE"""),45029.66666666667)</f>
        <v>45029.66667</v>
      </c>
      <c r="B516" s="1">
        <f>IFERROR(__xludf.DUMMYFUNCTION("""COMPUTED_VALUE"""),165.56)</f>
        <v>165.56</v>
      </c>
      <c r="C516" s="4">
        <f>IFERROR(__xludf.DUMMYFUNCTION("""COMPUTED_VALUE"""),45029.66666666667)</f>
        <v>45029.66667</v>
      </c>
      <c r="D516" s="1">
        <f>IFERROR(__xludf.DUMMYFUNCTION("""COMPUTED_VALUE"""),289.84)</f>
        <v>289.84</v>
      </c>
      <c r="E516" s="4">
        <f>IFERROR(__xludf.DUMMYFUNCTION("""COMPUTED_VALUE"""),45029.66666666667)</f>
        <v>45029.66667</v>
      </c>
      <c r="F516" s="1">
        <f>IFERROR(__xludf.DUMMYFUNCTION("""COMPUTED_VALUE"""),115.77)</f>
        <v>115.77</v>
      </c>
      <c r="G516" s="4">
        <f>IFERROR(__xludf.DUMMYFUNCTION("""COMPUTED_VALUE"""),45029.66666666667)</f>
        <v>45029.66667</v>
      </c>
      <c r="H516" s="1">
        <f>IFERROR(__xludf.DUMMYFUNCTION("""COMPUTED_VALUE"""),172.09)</f>
        <v>172.09</v>
      </c>
      <c r="I516" s="5">
        <f t="shared" si="1"/>
        <v>-0.002114037207</v>
      </c>
      <c r="K516" s="5">
        <f t="shared" si="2"/>
        <v>-0.01276566381</v>
      </c>
      <c r="L516" s="5">
        <f t="shared" si="3"/>
        <v>0.002418588581</v>
      </c>
      <c r="M516" s="5">
        <f t="shared" si="4"/>
        <v>0.002033819513</v>
      </c>
      <c r="Q516" s="5"/>
    </row>
    <row r="517">
      <c r="A517" s="4">
        <f>IFERROR(__xludf.DUMMYFUNCTION("""COMPUTED_VALUE"""),45030.66666666667)</f>
        <v>45030.66667</v>
      </c>
      <c r="B517" s="1">
        <f>IFERROR(__xludf.DUMMYFUNCTION("""COMPUTED_VALUE"""),165.21)</f>
        <v>165.21</v>
      </c>
      <c r="C517" s="4">
        <f>IFERROR(__xludf.DUMMYFUNCTION("""COMPUTED_VALUE"""),45030.66666666667)</f>
        <v>45030.66667</v>
      </c>
      <c r="D517" s="1">
        <f>IFERROR(__xludf.DUMMYFUNCTION("""COMPUTED_VALUE"""),286.14)</f>
        <v>286.14</v>
      </c>
      <c r="E517" s="4">
        <f>IFERROR(__xludf.DUMMYFUNCTION("""COMPUTED_VALUE"""),45030.66666666667)</f>
        <v>45030.66667</v>
      </c>
      <c r="F517" s="1">
        <f>IFERROR(__xludf.DUMMYFUNCTION("""COMPUTED_VALUE"""),116.05)</f>
        <v>116.05</v>
      </c>
      <c r="G517" s="4">
        <f>IFERROR(__xludf.DUMMYFUNCTION("""COMPUTED_VALUE"""),45030.66666666667)</f>
        <v>45030.66667</v>
      </c>
      <c r="H517" s="1">
        <f>IFERROR(__xludf.DUMMYFUNCTION("""COMPUTED_VALUE"""),172.44)</f>
        <v>172.44</v>
      </c>
      <c r="I517" s="5">
        <f t="shared" si="1"/>
        <v>0.0001210580473</v>
      </c>
      <c r="K517" s="5">
        <f t="shared" si="2"/>
        <v>0.009296148738</v>
      </c>
      <c r="L517" s="5">
        <f t="shared" si="3"/>
        <v>-0.01163291685</v>
      </c>
      <c r="M517" s="5">
        <f t="shared" si="4"/>
        <v>-0.008814660172</v>
      </c>
      <c r="Q517" s="5"/>
    </row>
    <row r="518">
      <c r="A518" s="4">
        <f>IFERROR(__xludf.DUMMYFUNCTION("""COMPUTED_VALUE"""),45033.66666666667)</f>
        <v>45033.66667</v>
      </c>
      <c r="B518" s="1">
        <f>IFERROR(__xludf.DUMMYFUNCTION("""COMPUTED_VALUE"""),165.23)</f>
        <v>165.23</v>
      </c>
      <c r="C518" s="4">
        <f>IFERROR(__xludf.DUMMYFUNCTION("""COMPUTED_VALUE"""),45033.66666666667)</f>
        <v>45033.66667</v>
      </c>
      <c r="D518" s="1">
        <f>IFERROR(__xludf.DUMMYFUNCTION("""COMPUTED_VALUE"""),288.8)</f>
        <v>288.8</v>
      </c>
      <c r="E518" s="4">
        <f>IFERROR(__xludf.DUMMYFUNCTION("""COMPUTED_VALUE"""),45033.66666666667)</f>
        <v>45033.66667</v>
      </c>
      <c r="F518" s="1">
        <f>IFERROR(__xludf.DUMMYFUNCTION("""COMPUTED_VALUE"""),114.7)</f>
        <v>114.7</v>
      </c>
      <c r="G518" s="4">
        <f>IFERROR(__xludf.DUMMYFUNCTION("""COMPUTED_VALUE"""),45033.66666666667)</f>
        <v>45033.66667</v>
      </c>
      <c r="H518" s="1">
        <f>IFERROR(__xludf.DUMMYFUNCTION("""COMPUTED_VALUE"""),170.92)</f>
        <v>170.92</v>
      </c>
      <c r="I518" s="5">
        <f t="shared" si="1"/>
        <v>0.007504690432</v>
      </c>
      <c r="K518" s="5">
        <f t="shared" si="2"/>
        <v>-0.001488919668</v>
      </c>
      <c r="L518" s="5">
        <f t="shared" si="3"/>
        <v>0.01952920663</v>
      </c>
      <c r="M518" s="5">
        <f t="shared" si="4"/>
        <v>-0.002340276153</v>
      </c>
      <c r="Q518" s="5"/>
    </row>
    <row r="519">
      <c r="A519" s="4">
        <f>IFERROR(__xludf.DUMMYFUNCTION("""COMPUTED_VALUE"""),45034.66666666667)</f>
        <v>45034.66667</v>
      </c>
      <c r="B519" s="1">
        <f>IFERROR(__xludf.DUMMYFUNCTION("""COMPUTED_VALUE"""),166.47)</f>
        <v>166.47</v>
      </c>
      <c r="C519" s="4">
        <f>IFERROR(__xludf.DUMMYFUNCTION("""COMPUTED_VALUE"""),45034.66666666667)</f>
        <v>45034.66667</v>
      </c>
      <c r="D519" s="1">
        <f>IFERROR(__xludf.DUMMYFUNCTION("""COMPUTED_VALUE"""),288.37)</f>
        <v>288.37</v>
      </c>
      <c r="E519" s="4">
        <f>IFERROR(__xludf.DUMMYFUNCTION("""COMPUTED_VALUE"""),45034.66666666667)</f>
        <v>45034.66667</v>
      </c>
      <c r="F519" s="1">
        <f>IFERROR(__xludf.DUMMYFUNCTION("""COMPUTED_VALUE"""),116.94)</f>
        <v>116.94</v>
      </c>
      <c r="G519" s="4">
        <f>IFERROR(__xludf.DUMMYFUNCTION("""COMPUTED_VALUE"""),45034.66666666667)</f>
        <v>45034.66667</v>
      </c>
      <c r="H519" s="1">
        <f>IFERROR(__xludf.DUMMYFUNCTION("""COMPUTED_VALUE"""),170.52)</f>
        <v>170.52</v>
      </c>
      <c r="I519" s="5">
        <f t="shared" si="1"/>
        <v>0.006968222503</v>
      </c>
      <c r="K519" s="5">
        <f t="shared" si="2"/>
        <v>0.0002774213684</v>
      </c>
      <c r="L519" s="5">
        <f t="shared" si="3"/>
        <v>-0.003164015735</v>
      </c>
      <c r="M519" s="5">
        <f t="shared" si="4"/>
        <v>0.000938306357</v>
      </c>
      <c r="Q519" s="5"/>
    </row>
    <row r="520">
      <c r="A520" s="4">
        <f>IFERROR(__xludf.DUMMYFUNCTION("""COMPUTED_VALUE"""),45035.66666666667)</f>
        <v>45035.66667</v>
      </c>
      <c r="B520" s="1">
        <f>IFERROR(__xludf.DUMMYFUNCTION("""COMPUTED_VALUE"""),167.63)</f>
        <v>167.63</v>
      </c>
      <c r="C520" s="4">
        <f>IFERROR(__xludf.DUMMYFUNCTION("""COMPUTED_VALUE"""),45035.66666666667)</f>
        <v>45035.66667</v>
      </c>
      <c r="D520" s="1">
        <f>IFERROR(__xludf.DUMMYFUNCTION("""COMPUTED_VALUE"""),288.45)</f>
        <v>288.45</v>
      </c>
      <c r="E520" s="4">
        <f>IFERROR(__xludf.DUMMYFUNCTION("""COMPUTED_VALUE"""),45035.66666666667)</f>
        <v>45035.66667</v>
      </c>
      <c r="F520" s="1">
        <f>IFERROR(__xludf.DUMMYFUNCTION("""COMPUTED_VALUE"""),116.57)</f>
        <v>116.57</v>
      </c>
      <c r="G520" s="4">
        <f>IFERROR(__xludf.DUMMYFUNCTION("""COMPUTED_VALUE"""),45035.66666666667)</f>
        <v>45035.66667</v>
      </c>
      <c r="H520" s="1">
        <f>IFERROR(__xludf.DUMMYFUNCTION("""COMPUTED_VALUE"""),170.68)</f>
        <v>170.68</v>
      </c>
      <c r="I520" s="5">
        <f t="shared" si="1"/>
        <v>-0.005846208912</v>
      </c>
      <c r="K520" s="5">
        <f t="shared" si="2"/>
        <v>-0.008112324493</v>
      </c>
      <c r="L520" s="5">
        <f t="shared" si="3"/>
        <v>-0.007978038947</v>
      </c>
      <c r="M520" s="5">
        <f t="shared" si="4"/>
        <v>-0.004862901336</v>
      </c>
      <c r="Q520" s="5"/>
    </row>
    <row r="521">
      <c r="A521" s="4">
        <f>IFERROR(__xludf.DUMMYFUNCTION("""COMPUTED_VALUE"""),45036.66666666667)</f>
        <v>45036.66667</v>
      </c>
      <c r="B521" s="1">
        <f>IFERROR(__xludf.DUMMYFUNCTION("""COMPUTED_VALUE"""),166.65)</f>
        <v>166.65</v>
      </c>
      <c r="C521" s="4">
        <f>IFERROR(__xludf.DUMMYFUNCTION("""COMPUTED_VALUE"""),45036.66666666667)</f>
        <v>45036.66667</v>
      </c>
      <c r="D521" s="1">
        <f>IFERROR(__xludf.DUMMYFUNCTION("""COMPUTED_VALUE"""),286.11)</f>
        <v>286.11</v>
      </c>
      <c r="E521" s="4">
        <f>IFERROR(__xludf.DUMMYFUNCTION("""COMPUTED_VALUE"""),45036.66666666667)</f>
        <v>45036.66667</v>
      </c>
      <c r="F521" s="1">
        <f>IFERROR(__xludf.DUMMYFUNCTION("""COMPUTED_VALUE"""),115.64)</f>
        <v>115.64</v>
      </c>
      <c r="G521" s="4">
        <f>IFERROR(__xludf.DUMMYFUNCTION("""COMPUTED_VALUE"""),45036.66666666667)</f>
        <v>45036.66667</v>
      </c>
      <c r="H521" s="1">
        <f>IFERROR(__xludf.DUMMYFUNCTION("""COMPUTED_VALUE"""),169.85)</f>
        <v>169.85</v>
      </c>
      <c r="I521" s="5">
        <f t="shared" si="1"/>
        <v>-0.009780978098</v>
      </c>
      <c r="K521" s="5">
        <f t="shared" si="2"/>
        <v>-0.001223305722</v>
      </c>
      <c r="L521" s="5">
        <f t="shared" si="3"/>
        <v>0.003199584919</v>
      </c>
      <c r="M521" s="5">
        <f t="shared" si="4"/>
        <v>-0.004297909921</v>
      </c>
      <c r="Q521" s="5"/>
    </row>
    <row r="522">
      <c r="A522" s="4">
        <f>IFERROR(__xludf.DUMMYFUNCTION("""COMPUTED_VALUE"""),45037.66666666667)</f>
        <v>45037.66667</v>
      </c>
      <c r="B522" s="1">
        <f>IFERROR(__xludf.DUMMYFUNCTION("""COMPUTED_VALUE"""),165.02)</f>
        <v>165.02</v>
      </c>
      <c r="C522" s="4">
        <f>IFERROR(__xludf.DUMMYFUNCTION("""COMPUTED_VALUE"""),45037.66666666667)</f>
        <v>45037.66667</v>
      </c>
      <c r="D522" s="1">
        <f>IFERROR(__xludf.DUMMYFUNCTION("""COMPUTED_VALUE"""),285.76)</f>
        <v>285.76</v>
      </c>
      <c r="E522" s="4">
        <f>IFERROR(__xludf.DUMMYFUNCTION("""COMPUTED_VALUE"""),45037.66666666667)</f>
        <v>45037.66667</v>
      </c>
      <c r="F522" s="1">
        <f>IFERROR(__xludf.DUMMYFUNCTION("""COMPUTED_VALUE"""),116.01)</f>
        <v>116.01</v>
      </c>
      <c r="G522" s="4">
        <f>IFERROR(__xludf.DUMMYFUNCTION("""COMPUTED_VALUE"""),45037.66666666667)</f>
        <v>45037.66667</v>
      </c>
      <c r="H522" s="1">
        <f>IFERROR(__xludf.DUMMYFUNCTION("""COMPUTED_VALUE"""),169.12)</f>
        <v>169.12</v>
      </c>
      <c r="I522" s="5">
        <f t="shared" si="1"/>
        <v>0.001878560175</v>
      </c>
      <c r="K522" s="5">
        <f t="shared" si="2"/>
        <v>-0.01396276596</v>
      </c>
      <c r="L522" s="5">
        <f t="shared" si="3"/>
        <v>0.01887768296</v>
      </c>
      <c r="M522" s="5">
        <f t="shared" si="4"/>
        <v>0.01395458846</v>
      </c>
      <c r="Q522" s="5"/>
    </row>
    <row r="523">
      <c r="A523" s="4">
        <f>IFERROR(__xludf.DUMMYFUNCTION("""COMPUTED_VALUE"""),45040.66666666667)</f>
        <v>45040.66667</v>
      </c>
      <c r="B523" s="1">
        <f>IFERROR(__xludf.DUMMYFUNCTION("""COMPUTED_VALUE"""),165.33)</f>
        <v>165.33</v>
      </c>
      <c r="C523" s="4">
        <f>IFERROR(__xludf.DUMMYFUNCTION("""COMPUTED_VALUE"""),45040.66666666667)</f>
        <v>45040.66667</v>
      </c>
      <c r="D523" s="1">
        <f>IFERROR(__xludf.DUMMYFUNCTION("""COMPUTED_VALUE"""),281.77)</f>
        <v>281.77</v>
      </c>
      <c r="E523" s="4">
        <f>IFERROR(__xludf.DUMMYFUNCTION("""COMPUTED_VALUE"""),45040.66666666667)</f>
        <v>45040.66667</v>
      </c>
      <c r="F523" s="1">
        <f>IFERROR(__xludf.DUMMYFUNCTION("""COMPUTED_VALUE"""),118.2)</f>
        <v>118.2</v>
      </c>
      <c r="G523" s="4">
        <f>IFERROR(__xludf.DUMMYFUNCTION("""COMPUTED_VALUE"""),45040.66666666667)</f>
        <v>45040.66667</v>
      </c>
      <c r="H523" s="1">
        <f>IFERROR(__xludf.DUMMYFUNCTION("""COMPUTED_VALUE"""),171.48)</f>
        <v>171.48</v>
      </c>
      <c r="I523" s="5">
        <f t="shared" si="1"/>
        <v>-0.009435674106</v>
      </c>
      <c r="K523" s="5">
        <f t="shared" si="2"/>
        <v>-0.02253611101</v>
      </c>
      <c r="L523" s="5">
        <f t="shared" si="3"/>
        <v>-0.01421319797</v>
      </c>
      <c r="M523" s="5">
        <f t="shared" si="4"/>
        <v>-0.01452064381</v>
      </c>
      <c r="Q523" s="5"/>
    </row>
    <row r="524">
      <c r="A524" s="4">
        <f>IFERROR(__xludf.DUMMYFUNCTION("""COMPUTED_VALUE"""),45041.66666666667)</f>
        <v>45041.66667</v>
      </c>
      <c r="B524" s="1">
        <f>IFERROR(__xludf.DUMMYFUNCTION("""COMPUTED_VALUE"""),163.77)</f>
        <v>163.77</v>
      </c>
      <c r="C524" s="4">
        <f>IFERROR(__xludf.DUMMYFUNCTION("""COMPUTED_VALUE"""),45041.66666666667)</f>
        <v>45041.66667</v>
      </c>
      <c r="D524" s="1">
        <f>IFERROR(__xludf.DUMMYFUNCTION("""COMPUTED_VALUE"""),275.42)</f>
        <v>275.42</v>
      </c>
      <c r="E524" s="4">
        <f>IFERROR(__xludf.DUMMYFUNCTION("""COMPUTED_VALUE"""),45041.66666666667)</f>
        <v>45041.66667</v>
      </c>
      <c r="F524" s="1">
        <f>IFERROR(__xludf.DUMMYFUNCTION("""COMPUTED_VALUE"""),116.52)</f>
        <v>116.52</v>
      </c>
      <c r="G524" s="4">
        <f>IFERROR(__xludf.DUMMYFUNCTION("""COMPUTED_VALUE"""),45041.66666666667)</f>
        <v>45041.66667</v>
      </c>
      <c r="H524" s="1">
        <f>IFERROR(__xludf.DUMMYFUNCTION("""COMPUTED_VALUE"""),168.99)</f>
        <v>168.99</v>
      </c>
      <c r="I524" s="5">
        <f t="shared" si="1"/>
        <v>-0.00006106124443</v>
      </c>
      <c r="K524" s="5">
        <f t="shared" si="2"/>
        <v>0.07243482681</v>
      </c>
      <c r="L524" s="5">
        <f t="shared" si="3"/>
        <v>-0.00918297288</v>
      </c>
      <c r="M524" s="5">
        <f t="shared" si="4"/>
        <v>-0.01781170483</v>
      </c>
      <c r="Q524" s="5"/>
    </row>
    <row r="525">
      <c r="A525" s="4">
        <f>IFERROR(__xludf.DUMMYFUNCTION("""COMPUTED_VALUE"""),45042.66666666667)</f>
        <v>45042.66667</v>
      </c>
      <c r="B525" s="1">
        <f>IFERROR(__xludf.DUMMYFUNCTION("""COMPUTED_VALUE"""),163.76)</f>
        <v>163.76</v>
      </c>
      <c r="C525" s="4">
        <f>IFERROR(__xludf.DUMMYFUNCTION("""COMPUTED_VALUE"""),45042.66666666667)</f>
        <v>45042.66667</v>
      </c>
      <c r="D525" s="1">
        <f>IFERROR(__xludf.DUMMYFUNCTION("""COMPUTED_VALUE"""),295.37)</f>
        <v>295.37</v>
      </c>
      <c r="E525" s="4">
        <f>IFERROR(__xludf.DUMMYFUNCTION("""COMPUTED_VALUE"""),45042.66666666667)</f>
        <v>45042.66667</v>
      </c>
      <c r="F525" s="1">
        <f>IFERROR(__xludf.DUMMYFUNCTION("""COMPUTED_VALUE"""),115.45)</f>
        <v>115.45</v>
      </c>
      <c r="G525" s="4">
        <f>IFERROR(__xludf.DUMMYFUNCTION("""COMPUTED_VALUE"""),45042.66666666667)</f>
        <v>45042.66667</v>
      </c>
      <c r="H525" s="1">
        <f>IFERROR(__xludf.DUMMYFUNCTION("""COMPUTED_VALUE"""),165.98)</f>
        <v>165.98</v>
      </c>
      <c r="I525" s="5">
        <f t="shared" si="1"/>
        <v>0.02839521251</v>
      </c>
      <c r="K525" s="5">
        <f t="shared" si="2"/>
        <v>0.03202762637</v>
      </c>
      <c r="L525" s="5">
        <f t="shared" si="3"/>
        <v>0.0119532265</v>
      </c>
      <c r="M525" s="5">
        <f t="shared" si="4"/>
        <v>0.0058440776</v>
      </c>
      <c r="Q525" s="5"/>
    </row>
    <row r="526">
      <c r="A526" s="4">
        <f>IFERROR(__xludf.DUMMYFUNCTION("""COMPUTED_VALUE"""),45043.66666666667)</f>
        <v>45043.66667</v>
      </c>
      <c r="B526" s="1">
        <f>IFERROR(__xludf.DUMMYFUNCTION("""COMPUTED_VALUE"""),168.41)</f>
        <v>168.41</v>
      </c>
      <c r="C526" s="4">
        <f>IFERROR(__xludf.DUMMYFUNCTION("""COMPUTED_VALUE"""),45043.66666666667)</f>
        <v>45043.66667</v>
      </c>
      <c r="D526" s="1">
        <f>IFERROR(__xludf.DUMMYFUNCTION("""COMPUTED_VALUE"""),304.83)</f>
        <v>304.83</v>
      </c>
      <c r="E526" s="4">
        <f>IFERROR(__xludf.DUMMYFUNCTION("""COMPUTED_VALUE"""),45043.66666666667)</f>
        <v>45043.66667</v>
      </c>
      <c r="F526" s="1">
        <f>IFERROR(__xludf.DUMMYFUNCTION("""COMPUTED_VALUE"""),116.83)</f>
        <v>116.83</v>
      </c>
      <c r="G526" s="4">
        <f>IFERROR(__xludf.DUMMYFUNCTION("""COMPUTED_VALUE"""),45043.66666666667)</f>
        <v>45043.66667</v>
      </c>
      <c r="H526" s="1">
        <f>IFERROR(__xludf.DUMMYFUNCTION("""COMPUTED_VALUE"""),166.95)</f>
        <v>166.95</v>
      </c>
      <c r="I526" s="5">
        <f t="shared" si="1"/>
        <v>0.007541119886</v>
      </c>
      <c r="K526" s="5">
        <f t="shared" si="2"/>
        <v>0.007971656333</v>
      </c>
      <c r="L526" s="5">
        <f t="shared" si="3"/>
        <v>0.01292476248</v>
      </c>
      <c r="M526" s="5">
        <f t="shared" si="4"/>
        <v>0.009763402216</v>
      </c>
      <c r="Q526" s="5"/>
    </row>
    <row r="527">
      <c r="A527" s="4">
        <f>IFERROR(__xludf.DUMMYFUNCTION("""COMPUTED_VALUE"""),45044.66666666667)</f>
        <v>45044.66667</v>
      </c>
      <c r="B527" s="1">
        <f>IFERROR(__xludf.DUMMYFUNCTION("""COMPUTED_VALUE"""),169.68)</f>
        <v>169.68</v>
      </c>
      <c r="C527" s="4">
        <f>IFERROR(__xludf.DUMMYFUNCTION("""COMPUTED_VALUE"""),45044.66666666667)</f>
        <v>45044.66667</v>
      </c>
      <c r="D527" s="1">
        <f>IFERROR(__xludf.DUMMYFUNCTION("""COMPUTED_VALUE"""),307.26)</f>
        <v>307.26</v>
      </c>
      <c r="E527" s="4">
        <f>IFERROR(__xludf.DUMMYFUNCTION("""COMPUTED_VALUE"""),45044.66666666667)</f>
        <v>45044.66667</v>
      </c>
      <c r="F527" s="1">
        <f>IFERROR(__xludf.DUMMYFUNCTION("""COMPUTED_VALUE"""),118.34)</f>
        <v>118.34</v>
      </c>
      <c r="G527" s="4">
        <f>IFERROR(__xludf.DUMMYFUNCTION("""COMPUTED_VALUE"""),45044.66666666667)</f>
        <v>45044.66667</v>
      </c>
      <c r="H527" s="1">
        <f>IFERROR(__xludf.DUMMYFUNCTION("""COMPUTED_VALUE"""),168.58)</f>
        <v>168.58</v>
      </c>
      <c r="I527" s="5">
        <f t="shared" si="1"/>
        <v>-0.0005304101839</v>
      </c>
      <c r="K527" s="5">
        <f t="shared" si="2"/>
        <v>-0.005532773547</v>
      </c>
      <c r="L527" s="5">
        <f t="shared" si="3"/>
        <v>-0.03101233733</v>
      </c>
      <c r="M527" s="5">
        <f t="shared" si="4"/>
        <v>-0.007948748369</v>
      </c>
      <c r="Q527" s="5"/>
    </row>
    <row r="528">
      <c r="A528" s="4">
        <f>IFERROR(__xludf.DUMMYFUNCTION("""COMPUTED_VALUE"""),45047.66666666667)</f>
        <v>45047.66667</v>
      </c>
      <c r="B528" s="1">
        <f>IFERROR(__xludf.DUMMYFUNCTION("""COMPUTED_VALUE"""),169.59)</f>
        <v>169.59</v>
      </c>
      <c r="C528" s="4">
        <f>IFERROR(__xludf.DUMMYFUNCTION("""COMPUTED_VALUE"""),45047.66666666667)</f>
        <v>45047.66667</v>
      </c>
      <c r="D528" s="1">
        <f>IFERROR(__xludf.DUMMYFUNCTION("""COMPUTED_VALUE"""),305.56)</f>
        <v>305.56</v>
      </c>
      <c r="E528" s="4">
        <f>IFERROR(__xludf.DUMMYFUNCTION("""COMPUTED_VALUE"""),45047.66666666667)</f>
        <v>45047.66667</v>
      </c>
      <c r="F528" s="1">
        <f>IFERROR(__xludf.DUMMYFUNCTION("""COMPUTED_VALUE"""),114.67)</f>
        <v>114.67</v>
      </c>
      <c r="G528" s="4">
        <f>IFERROR(__xludf.DUMMYFUNCTION("""COMPUTED_VALUE"""),45047.66666666667)</f>
        <v>45047.66667</v>
      </c>
      <c r="H528" s="1">
        <f>IFERROR(__xludf.DUMMYFUNCTION("""COMPUTED_VALUE"""),167.24)</f>
        <v>167.24</v>
      </c>
      <c r="I528" s="5">
        <f t="shared" si="1"/>
        <v>-0.006191402795</v>
      </c>
      <c r="K528" s="5">
        <f t="shared" si="2"/>
        <v>-0.0004909019505</v>
      </c>
      <c r="L528" s="5">
        <f t="shared" si="3"/>
        <v>-0.03985349263</v>
      </c>
      <c r="M528" s="5">
        <f t="shared" si="4"/>
        <v>-0.04305190146</v>
      </c>
      <c r="Q528" s="5"/>
    </row>
    <row r="529">
      <c r="A529" s="4">
        <f>IFERROR(__xludf.DUMMYFUNCTION("""COMPUTED_VALUE"""),45048.66666666667)</f>
        <v>45048.66667</v>
      </c>
      <c r="B529" s="1">
        <f>IFERROR(__xludf.DUMMYFUNCTION("""COMPUTED_VALUE"""),168.54)</f>
        <v>168.54</v>
      </c>
      <c r="C529" s="4">
        <f>IFERROR(__xludf.DUMMYFUNCTION("""COMPUTED_VALUE"""),45048.66666666667)</f>
        <v>45048.66667</v>
      </c>
      <c r="D529" s="1">
        <f>IFERROR(__xludf.DUMMYFUNCTION("""COMPUTED_VALUE"""),305.41)</f>
        <v>305.41</v>
      </c>
      <c r="E529" s="4">
        <f>IFERROR(__xludf.DUMMYFUNCTION("""COMPUTED_VALUE"""),45048.66666666667)</f>
        <v>45048.66667</v>
      </c>
      <c r="F529" s="1">
        <f>IFERROR(__xludf.DUMMYFUNCTION("""COMPUTED_VALUE"""),110.1)</f>
        <v>110.1</v>
      </c>
      <c r="G529" s="4">
        <f>IFERROR(__xludf.DUMMYFUNCTION("""COMPUTED_VALUE"""),45048.66666666667)</f>
        <v>45048.66667</v>
      </c>
      <c r="H529" s="1">
        <f>IFERROR(__xludf.DUMMYFUNCTION("""COMPUTED_VALUE"""),160.04)</f>
        <v>160.04</v>
      </c>
      <c r="I529" s="5">
        <f t="shared" si="1"/>
        <v>-0.006467307464</v>
      </c>
      <c r="K529" s="5">
        <f t="shared" si="2"/>
        <v>-0.003307029894</v>
      </c>
      <c r="L529" s="5">
        <f t="shared" si="3"/>
        <v>-0.01970935513</v>
      </c>
      <c r="M529" s="5">
        <f t="shared" si="4"/>
        <v>-0.02005748563</v>
      </c>
      <c r="Q529" s="5"/>
    </row>
    <row r="530">
      <c r="A530" s="4">
        <f>IFERROR(__xludf.DUMMYFUNCTION("""COMPUTED_VALUE"""),45049.66666666667)</f>
        <v>45049.66667</v>
      </c>
      <c r="B530" s="1">
        <f>IFERROR(__xludf.DUMMYFUNCTION("""COMPUTED_VALUE"""),167.45)</f>
        <v>167.45</v>
      </c>
      <c r="C530" s="4">
        <f>IFERROR(__xludf.DUMMYFUNCTION("""COMPUTED_VALUE"""),45049.66666666667)</f>
        <v>45049.66667</v>
      </c>
      <c r="D530" s="1">
        <f>IFERROR(__xludf.DUMMYFUNCTION("""COMPUTED_VALUE"""),304.4)</f>
        <v>304.4</v>
      </c>
      <c r="E530" s="4">
        <f>IFERROR(__xludf.DUMMYFUNCTION("""COMPUTED_VALUE"""),45049.66666666667)</f>
        <v>45049.66667</v>
      </c>
      <c r="F530" s="1">
        <f>IFERROR(__xludf.DUMMYFUNCTION("""COMPUTED_VALUE"""),107.93)</f>
        <v>107.93</v>
      </c>
      <c r="G530" s="4">
        <f>IFERROR(__xludf.DUMMYFUNCTION("""COMPUTED_VALUE"""),45049.66666666667)</f>
        <v>45049.66667</v>
      </c>
      <c r="H530" s="1">
        <f>IFERROR(__xludf.DUMMYFUNCTION("""COMPUTED_VALUE"""),156.83)</f>
        <v>156.83</v>
      </c>
      <c r="I530" s="5">
        <f t="shared" si="1"/>
        <v>-0.009913406987</v>
      </c>
      <c r="K530" s="5">
        <f t="shared" si="2"/>
        <v>0.003318002628</v>
      </c>
      <c r="L530" s="5">
        <f t="shared" si="3"/>
        <v>-0.01751134995</v>
      </c>
      <c r="M530" s="5">
        <f t="shared" si="4"/>
        <v>-0.003889561946</v>
      </c>
      <c r="Q530" s="5"/>
    </row>
    <row r="531">
      <c r="A531" s="4">
        <f>IFERROR(__xludf.DUMMYFUNCTION("""COMPUTED_VALUE"""),45050.66666666667)</f>
        <v>45050.66667</v>
      </c>
      <c r="B531" s="1">
        <f>IFERROR(__xludf.DUMMYFUNCTION("""COMPUTED_VALUE"""),165.79)</f>
        <v>165.79</v>
      </c>
      <c r="C531" s="4">
        <f>IFERROR(__xludf.DUMMYFUNCTION("""COMPUTED_VALUE"""),45050.66666666667)</f>
        <v>45050.66667</v>
      </c>
      <c r="D531" s="1">
        <f>IFERROR(__xludf.DUMMYFUNCTION("""COMPUTED_VALUE"""),305.41)</f>
        <v>305.41</v>
      </c>
      <c r="E531" s="4">
        <f>IFERROR(__xludf.DUMMYFUNCTION("""COMPUTED_VALUE"""),45050.66666666667)</f>
        <v>45050.66667</v>
      </c>
      <c r="F531" s="1">
        <f>IFERROR(__xludf.DUMMYFUNCTION("""COMPUTED_VALUE"""),106.04)</f>
        <v>106.04</v>
      </c>
      <c r="G531" s="4">
        <f>IFERROR(__xludf.DUMMYFUNCTION("""COMPUTED_VALUE"""),45050.66666666667)</f>
        <v>45050.66667</v>
      </c>
      <c r="H531" s="1">
        <f>IFERROR(__xludf.DUMMYFUNCTION("""COMPUTED_VALUE"""),156.22)</f>
        <v>156.22</v>
      </c>
      <c r="I531" s="5">
        <f t="shared" si="1"/>
        <v>0.04692683515</v>
      </c>
      <c r="K531" s="5">
        <f t="shared" si="2"/>
        <v>0.01715726401</v>
      </c>
      <c r="L531" s="5">
        <f t="shared" si="3"/>
        <v>0.02489626556</v>
      </c>
      <c r="M531" s="5">
        <f t="shared" si="4"/>
        <v>0.02554090385</v>
      </c>
      <c r="Q531" s="5"/>
    </row>
    <row r="532">
      <c r="A532" s="4">
        <f>IFERROR(__xludf.DUMMYFUNCTION("""COMPUTED_VALUE"""),45051.66666666667)</f>
        <v>45051.66667</v>
      </c>
      <c r="B532" s="1">
        <f>IFERROR(__xludf.DUMMYFUNCTION("""COMPUTED_VALUE"""),173.57)</f>
        <v>173.57</v>
      </c>
      <c r="C532" s="4">
        <f>IFERROR(__xludf.DUMMYFUNCTION("""COMPUTED_VALUE"""),45051.66666666667)</f>
        <v>45051.66667</v>
      </c>
      <c r="D532" s="1">
        <f>IFERROR(__xludf.DUMMYFUNCTION("""COMPUTED_VALUE"""),310.65)</f>
        <v>310.65</v>
      </c>
      <c r="E532" s="4">
        <f>IFERROR(__xludf.DUMMYFUNCTION("""COMPUTED_VALUE"""),45051.66666666667)</f>
        <v>45051.66667</v>
      </c>
      <c r="F532" s="1">
        <f>IFERROR(__xludf.DUMMYFUNCTION("""COMPUTED_VALUE"""),108.68)</f>
        <v>108.68</v>
      </c>
      <c r="G532" s="4">
        <f>IFERROR(__xludf.DUMMYFUNCTION("""COMPUTED_VALUE"""),45051.66666666667)</f>
        <v>45051.66667</v>
      </c>
      <c r="H532" s="1">
        <f>IFERROR(__xludf.DUMMYFUNCTION("""COMPUTED_VALUE"""),160.21)</f>
        <v>160.21</v>
      </c>
      <c r="I532" s="5">
        <f t="shared" si="1"/>
        <v>-0.0004032955004</v>
      </c>
      <c r="K532" s="5">
        <f t="shared" si="2"/>
        <v>-0.006438113633</v>
      </c>
      <c r="L532" s="5">
        <f t="shared" si="3"/>
        <v>0.003956569746</v>
      </c>
      <c r="M532" s="5">
        <f t="shared" si="4"/>
        <v>-0.003932338805</v>
      </c>
      <c r="Q532" s="5"/>
    </row>
    <row r="533">
      <c r="A533" s="4">
        <f>IFERROR(__xludf.DUMMYFUNCTION("""COMPUTED_VALUE"""),45054.66666666667)</f>
        <v>45054.66667</v>
      </c>
      <c r="B533" s="1">
        <f>IFERROR(__xludf.DUMMYFUNCTION("""COMPUTED_VALUE"""),173.5)</f>
        <v>173.5</v>
      </c>
      <c r="C533" s="4">
        <f>IFERROR(__xludf.DUMMYFUNCTION("""COMPUTED_VALUE"""),45054.66666666667)</f>
        <v>45054.66667</v>
      </c>
      <c r="D533" s="1">
        <f>IFERROR(__xludf.DUMMYFUNCTION("""COMPUTED_VALUE"""),308.65)</f>
        <v>308.65</v>
      </c>
      <c r="E533" s="4">
        <f>IFERROR(__xludf.DUMMYFUNCTION("""COMPUTED_VALUE"""),45054.66666666667)</f>
        <v>45054.66667</v>
      </c>
      <c r="F533" s="1">
        <f>IFERROR(__xludf.DUMMYFUNCTION("""COMPUTED_VALUE"""),109.11)</f>
        <v>109.11</v>
      </c>
      <c r="G533" s="4">
        <f>IFERROR(__xludf.DUMMYFUNCTION("""COMPUTED_VALUE"""),45054.66666666667)</f>
        <v>45054.66667</v>
      </c>
      <c r="H533" s="1">
        <f>IFERROR(__xludf.DUMMYFUNCTION("""COMPUTED_VALUE"""),159.58)</f>
        <v>159.58</v>
      </c>
      <c r="I533" s="5">
        <f t="shared" si="1"/>
        <v>-0.009971181556</v>
      </c>
      <c r="K533" s="5">
        <f t="shared" si="2"/>
        <v>-0.005345861008</v>
      </c>
      <c r="L533" s="5">
        <f t="shared" si="3"/>
        <v>0.0002749518834</v>
      </c>
      <c r="M533" s="5">
        <f t="shared" si="4"/>
        <v>-0.002882566738</v>
      </c>
      <c r="Q533" s="5"/>
    </row>
    <row r="534">
      <c r="A534" s="4">
        <f>IFERROR(__xludf.DUMMYFUNCTION("""COMPUTED_VALUE"""),45055.66666666667)</f>
        <v>45055.66667</v>
      </c>
      <c r="B534" s="1">
        <f>IFERROR(__xludf.DUMMYFUNCTION("""COMPUTED_VALUE"""),171.77)</f>
        <v>171.77</v>
      </c>
      <c r="C534" s="4">
        <f>IFERROR(__xludf.DUMMYFUNCTION("""COMPUTED_VALUE"""),45055.66666666667)</f>
        <v>45055.66667</v>
      </c>
      <c r="D534" s="1">
        <f>IFERROR(__xludf.DUMMYFUNCTION("""COMPUTED_VALUE"""),307.0)</f>
        <v>307</v>
      </c>
      <c r="E534" s="4">
        <f>IFERROR(__xludf.DUMMYFUNCTION("""COMPUTED_VALUE"""),45055.66666666667)</f>
        <v>45055.66667</v>
      </c>
      <c r="F534" s="1">
        <f>IFERROR(__xludf.DUMMYFUNCTION("""COMPUTED_VALUE"""),109.14)</f>
        <v>109.14</v>
      </c>
      <c r="G534" s="4">
        <f>IFERROR(__xludf.DUMMYFUNCTION("""COMPUTED_VALUE"""),45055.66666666667)</f>
        <v>45055.66667</v>
      </c>
      <c r="H534" s="1">
        <f>IFERROR(__xludf.DUMMYFUNCTION("""COMPUTED_VALUE"""),159.12)</f>
        <v>159.12</v>
      </c>
      <c r="I534" s="5">
        <f t="shared" si="1"/>
        <v>0.01042091168</v>
      </c>
      <c r="K534" s="5">
        <f t="shared" si="2"/>
        <v>0.01729641694</v>
      </c>
      <c r="L534" s="5">
        <f t="shared" si="3"/>
        <v>-0.01282756093</v>
      </c>
      <c r="M534" s="5">
        <f t="shared" si="4"/>
        <v>-0.01275766717</v>
      </c>
      <c r="Q534" s="5"/>
    </row>
    <row r="535">
      <c r="A535" s="4">
        <f>IFERROR(__xludf.DUMMYFUNCTION("""COMPUTED_VALUE"""),45056.66666666667)</f>
        <v>45056.66667</v>
      </c>
      <c r="B535" s="1">
        <f>IFERROR(__xludf.DUMMYFUNCTION("""COMPUTED_VALUE"""),173.56)</f>
        <v>173.56</v>
      </c>
      <c r="C535" s="4">
        <f>IFERROR(__xludf.DUMMYFUNCTION("""COMPUTED_VALUE"""),45056.66666666667)</f>
        <v>45056.66667</v>
      </c>
      <c r="D535" s="1">
        <f>IFERROR(__xludf.DUMMYFUNCTION("""COMPUTED_VALUE"""),312.31)</f>
        <v>312.31</v>
      </c>
      <c r="E535" s="4">
        <f>IFERROR(__xludf.DUMMYFUNCTION("""COMPUTED_VALUE"""),45056.66666666667)</f>
        <v>45056.66667</v>
      </c>
      <c r="F535" s="1">
        <f>IFERROR(__xludf.DUMMYFUNCTION("""COMPUTED_VALUE"""),107.74)</f>
        <v>107.74</v>
      </c>
      <c r="G535" s="4">
        <f>IFERROR(__xludf.DUMMYFUNCTION("""COMPUTED_VALUE"""),45056.66666666667)</f>
        <v>45056.66667</v>
      </c>
      <c r="H535" s="1">
        <f>IFERROR(__xludf.DUMMYFUNCTION("""COMPUTED_VALUE"""),157.09)</f>
        <v>157.09</v>
      </c>
      <c r="I535" s="5">
        <f t="shared" si="1"/>
        <v>0.001094722286</v>
      </c>
      <c r="K535" s="5">
        <f t="shared" si="2"/>
        <v>-0.007044282924</v>
      </c>
      <c r="L535" s="5">
        <f t="shared" si="3"/>
        <v>-0.01809912753</v>
      </c>
      <c r="M535" s="5">
        <f t="shared" si="4"/>
        <v>-0.005538226494</v>
      </c>
      <c r="Q535" s="5"/>
    </row>
    <row r="536">
      <c r="A536" s="4">
        <f>IFERROR(__xludf.DUMMYFUNCTION("""COMPUTED_VALUE"""),45057.66666666667)</f>
        <v>45057.66667</v>
      </c>
      <c r="B536" s="1">
        <f>IFERROR(__xludf.DUMMYFUNCTION("""COMPUTED_VALUE"""),173.75)</f>
        <v>173.75</v>
      </c>
      <c r="C536" s="4">
        <f>IFERROR(__xludf.DUMMYFUNCTION("""COMPUTED_VALUE"""),45057.66666666667)</f>
        <v>45057.66667</v>
      </c>
      <c r="D536" s="1">
        <f>IFERROR(__xludf.DUMMYFUNCTION("""COMPUTED_VALUE"""),310.11)</f>
        <v>310.11</v>
      </c>
      <c r="E536" s="4">
        <f>IFERROR(__xludf.DUMMYFUNCTION("""COMPUTED_VALUE"""),45057.66666666667)</f>
        <v>45057.66667</v>
      </c>
      <c r="F536" s="1">
        <f>IFERROR(__xludf.DUMMYFUNCTION("""COMPUTED_VALUE"""),105.79)</f>
        <v>105.79</v>
      </c>
      <c r="G536" s="4">
        <f>IFERROR(__xludf.DUMMYFUNCTION("""COMPUTED_VALUE"""),45057.66666666667)</f>
        <v>45057.66667</v>
      </c>
      <c r="H536" s="1">
        <f>IFERROR(__xludf.DUMMYFUNCTION("""COMPUTED_VALUE"""),156.22)</f>
        <v>156.22</v>
      </c>
      <c r="I536" s="5">
        <f t="shared" si="1"/>
        <v>-0.006791366906</v>
      </c>
      <c r="K536" s="5">
        <f t="shared" si="2"/>
        <v>-0.003676114927</v>
      </c>
      <c r="L536" s="5">
        <f t="shared" si="3"/>
        <v>-0.0000945268929</v>
      </c>
      <c r="M536" s="5">
        <f t="shared" si="4"/>
        <v>0.002560491614</v>
      </c>
      <c r="Q536" s="5"/>
    </row>
    <row r="537">
      <c r="A537" s="4">
        <f>IFERROR(__xludf.DUMMYFUNCTION("""COMPUTED_VALUE"""),45058.66666666667)</f>
        <v>45058.66667</v>
      </c>
      <c r="B537" s="1">
        <f>IFERROR(__xludf.DUMMYFUNCTION("""COMPUTED_VALUE"""),172.57)</f>
        <v>172.57</v>
      </c>
      <c r="C537" s="4">
        <f>IFERROR(__xludf.DUMMYFUNCTION("""COMPUTED_VALUE"""),45058.66666666667)</f>
        <v>45058.66667</v>
      </c>
      <c r="D537" s="1">
        <f>IFERROR(__xludf.DUMMYFUNCTION("""COMPUTED_VALUE"""),308.97)</f>
        <v>308.97</v>
      </c>
      <c r="E537" s="4">
        <f>IFERROR(__xludf.DUMMYFUNCTION("""COMPUTED_VALUE"""),45058.66666666667)</f>
        <v>45058.66667</v>
      </c>
      <c r="F537" s="1">
        <f>IFERROR(__xludf.DUMMYFUNCTION("""COMPUTED_VALUE"""),105.78)</f>
        <v>105.78</v>
      </c>
      <c r="G537" s="4">
        <f>IFERROR(__xludf.DUMMYFUNCTION("""COMPUTED_VALUE"""),45058.66666666667)</f>
        <v>45058.66667</v>
      </c>
      <c r="H537" s="1">
        <f>IFERROR(__xludf.DUMMYFUNCTION("""COMPUTED_VALUE"""),156.62)</f>
        <v>156.62</v>
      </c>
      <c r="I537" s="5">
        <f t="shared" si="1"/>
        <v>-0.002897374978</v>
      </c>
      <c r="K537" s="5">
        <f t="shared" si="2"/>
        <v>0.00158591449</v>
      </c>
      <c r="L537" s="5">
        <f t="shared" si="3"/>
        <v>-0.006712043865</v>
      </c>
      <c r="M537" s="5">
        <f t="shared" si="4"/>
        <v>0.00370323075</v>
      </c>
      <c r="Q537" s="5"/>
    </row>
    <row r="538">
      <c r="A538" s="4">
        <f>IFERROR(__xludf.DUMMYFUNCTION("""COMPUTED_VALUE"""),45061.66666666667)</f>
        <v>45061.66667</v>
      </c>
      <c r="B538" s="1">
        <f>IFERROR(__xludf.DUMMYFUNCTION("""COMPUTED_VALUE"""),172.07)</f>
        <v>172.07</v>
      </c>
      <c r="C538" s="4">
        <f>IFERROR(__xludf.DUMMYFUNCTION("""COMPUTED_VALUE"""),45061.66666666667)</f>
        <v>45061.66667</v>
      </c>
      <c r="D538" s="1">
        <f>IFERROR(__xludf.DUMMYFUNCTION("""COMPUTED_VALUE"""),309.46)</f>
        <v>309.46</v>
      </c>
      <c r="E538" s="4">
        <f>IFERROR(__xludf.DUMMYFUNCTION("""COMPUTED_VALUE"""),45061.66666666667)</f>
        <v>45061.66667</v>
      </c>
      <c r="F538" s="1">
        <f>IFERROR(__xludf.DUMMYFUNCTION("""COMPUTED_VALUE"""),105.07)</f>
        <v>105.07</v>
      </c>
      <c r="G538" s="4">
        <f>IFERROR(__xludf.DUMMYFUNCTION("""COMPUTED_VALUE"""),45061.66666666667)</f>
        <v>45061.66667</v>
      </c>
      <c r="H538" s="1">
        <f>IFERROR(__xludf.DUMMYFUNCTION("""COMPUTED_VALUE"""),157.2)</f>
        <v>157.2</v>
      </c>
      <c r="I538" s="5">
        <f t="shared" si="1"/>
        <v>0</v>
      </c>
      <c r="K538" s="5">
        <f t="shared" si="2"/>
        <v>0.00736767272</v>
      </c>
      <c r="L538" s="5">
        <f t="shared" si="3"/>
        <v>-0.0242695346</v>
      </c>
      <c r="M538" s="5">
        <f t="shared" si="4"/>
        <v>-0.02347328244</v>
      </c>
      <c r="Q538" s="5"/>
    </row>
    <row r="539">
      <c r="A539" s="4">
        <f>IFERROR(__xludf.DUMMYFUNCTION("""COMPUTED_VALUE"""),45062.66666666667)</f>
        <v>45062.66667</v>
      </c>
      <c r="B539" s="1">
        <f>IFERROR(__xludf.DUMMYFUNCTION("""COMPUTED_VALUE"""),172.07)</f>
        <v>172.07</v>
      </c>
      <c r="C539" s="4">
        <f>IFERROR(__xludf.DUMMYFUNCTION("""COMPUTED_VALUE"""),45062.66666666667)</f>
        <v>45062.66667</v>
      </c>
      <c r="D539" s="1">
        <f>IFERROR(__xludf.DUMMYFUNCTION("""COMPUTED_VALUE"""),311.74)</f>
        <v>311.74</v>
      </c>
      <c r="E539" s="4">
        <f>IFERROR(__xludf.DUMMYFUNCTION("""COMPUTED_VALUE"""),45062.66666666667)</f>
        <v>45062.66667</v>
      </c>
      <c r="F539" s="1">
        <f>IFERROR(__xludf.DUMMYFUNCTION("""COMPUTED_VALUE"""),102.52)</f>
        <v>102.52</v>
      </c>
      <c r="G539" s="4">
        <f>IFERROR(__xludf.DUMMYFUNCTION("""COMPUTED_VALUE"""),45062.66666666667)</f>
        <v>45062.66667</v>
      </c>
      <c r="H539" s="1">
        <f>IFERROR(__xludf.DUMMYFUNCTION("""COMPUTED_VALUE"""),153.51)</f>
        <v>153.51</v>
      </c>
      <c r="I539" s="5">
        <f t="shared" si="1"/>
        <v>0.00360318475</v>
      </c>
      <c r="K539" s="5">
        <f t="shared" si="2"/>
        <v>0.007249631103</v>
      </c>
      <c r="L539" s="5">
        <f t="shared" si="3"/>
        <v>0.0224346469</v>
      </c>
      <c r="M539" s="5">
        <f t="shared" si="4"/>
        <v>0.01433131392</v>
      </c>
      <c r="Q539" s="5"/>
    </row>
    <row r="540">
      <c r="A540" s="4">
        <f>IFERROR(__xludf.DUMMYFUNCTION("""COMPUTED_VALUE"""),45063.66666666667)</f>
        <v>45063.66667</v>
      </c>
      <c r="B540" s="1">
        <f>IFERROR(__xludf.DUMMYFUNCTION("""COMPUTED_VALUE"""),172.69)</f>
        <v>172.69</v>
      </c>
      <c r="C540" s="4">
        <f>IFERROR(__xludf.DUMMYFUNCTION("""COMPUTED_VALUE"""),45063.66666666667)</f>
        <v>45063.66667</v>
      </c>
      <c r="D540" s="1">
        <f>IFERROR(__xludf.DUMMYFUNCTION("""COMPUTED_VALUE"""),314.0)</f>
        <v>314</v>
      </c>
      <c r="E540" s="4">
        <f>IFERROR(__xludf.DUMMYFUNCTION("""COMPUTED_VALUE"""),45063.66666666667)</f>
        <v>45063.66667</v>
      </c>
      <c r="F540" s="1">
        <f>IFERROR(__xludf.DUMMYFUNCTION("""COMPUTED_VALUE"""),104.82)</f>
        <v>104.82</v>
      </c>
      <c r="G540" s="4">
        <f>IFERROR(__xludf.DUMMYFUNCTION("""COMPUTED_VALUE"""),45063.66666666667)</f>
        <v>45063.66667</v>
      </c>
      <c r="H540" s="1">
        <f>IFERROR(__xludf.DUMMYFUNCTION("""COMPUTED_VALUE"""),155.71)</f>
        <v>155.71</v>
      </c>
      <c r="I540" s="5">
        <f t="shared" si="1"/>
        <v>0.0136661069</v>
      </c>
      <c r="K540" s="5">
        <f t="shared" si="2"/>
        <v>0.01439490446</v>
      </c>
      <c r="L540" s="5">
        <f t="shared" si="3"/>
        <v>0.009063155886</v>
      </c>
      <c r="M540" s="5">
        <f t="shared" si="4"/>
        <v>-0.01091773168</v>
      </c>
      <c r="Q540" s="5"/>
    </row>
    <row r="541">
      <c r="A541" s="4">
        <f>IFERROR(__xludf.DUMMYFUNCTION("""COMPUTED_VALUE"""),45064.66666666667)</f>
        <v>45064.66667</v>
      </c>
      <c r="B541" s="1">
        <f>IFERROR(__xludf.DUMMYFUNCTION("""COMPUTED_VALUE"""),175.05)</f>
        <v>175.05</v>
      </c>
      <c r="C541" s="4">
        <f>IFERROR(__xludf.DUMMYFUNCTION("""COMPUTED_VALUE"""),45064.66666666667)</f>
        <v>45064.66667</v>
      </c>
      <c r="D541" s="1">
        <f>IFERROR(__xludf.DUMMYFUNCTION("""COMPUTED_VALUE"""),318.52)</f>
        <v>318.52</v>
      </c>
      <c r="E541" s="4">
        <f>IFERROR(__xludf.DUMMYFUNCTION("""COMPUTED_VALUE"""),45064.66666666667)</f>
        <v>45064.66667</v>
      </c>
      <c r="F541" s="1">
        <f>IFERROR(__xludf.DUMMYFUNCTION("""COMPUTED_VALUE"""),105.77)</f>
        <v>105.77</v>
      </c>
      <c r="G541" s="4">
        <f>IFERROR(__xludf.DUMMYFUNCTION("""COMPUTED_VALUE"""),45064.66666666667)</f>
        <v>45064.66667</v>
      </c>
      <c r="H541" s="1">
        <f>IFERROR(__xludf.DUMMYFUNCTION("""COMPUTED_VALUE"""),154.01)</f>
        <v>154.01</v>
      </c>
      <c r="I541" s="5">
        <f t="shared" si="1"/>
        <v>0.000628391888</v>
      </c>
      <c r="K541" s="5">
        <f t="shared" si="2"/>
        <v>-0.0005651136506</v>
      </c>
      <c r="L541" s="5">
        <f t="shared" si="3"/>
        <v>0.00463269358</v>
      </c>
      <c r="M541" s="5">
        <f t="shared" si="4"/>
        <v>0.007921563535</v>
      </c>
      <c r="Q541" s="5"/>
    </row>
    <row r="542">
      <c r="A542" s="4">
        <f>IFERROR(__xludf.DUMMYFUNCTION("""COMPUTED_VALUE"""),45065.66666666667)</f>
        <v>45065.66667</v>
      </c>
      <c r="B542" s="1">
        <f>IFERROR(__xludf.DUMMYFUNCTION("""COMPUTED_VALUE"""),175.16)</f>
        <v>175.16</v>
      </c>
      <c r="C542" s="4">
        <f>IFERROR(__xludf.DUMMYFUNCTION("""COMPUTED_VALUE"""),45065.66666666667)</f>
        <v>45065.66667</v>
      </c>
      <c r="D542" s="1">
        <f>IFERROR(__xludf.DUMMYFUNCTION("""COMPUTED_VALUE"""),318.34)</f>
        <v>318.34</v>
      </c>
      <c r="E542" s="4">
        <f>IFERROR(__xludf.DUMMYFUNCTION("""COMPUTED_VALUE"""),45065.66666666667)</f>
        <v>45065.66667</v>
      </c>
      <c r="F542" s="1">
        <f>IFERROR(__xludf.DUMMYFUNCTION("""COMPUTED_VALUE"""),106.26)</f>
        <v>106.26</v>
      </c>
      <c r="G542" s="4">
        <f>IFERROR(__xludf.DUMMYFUNCTION("""COMPUTED_VALUE"""),45065.66666666667)</f>
        <v>45065.66667</v>
      </c>
      <c r="H542" s="1">
        <f>IFERROR(__xludf.DUMMYFUNCTION("""COMPUTED_VALUE"""),155.23)</f>
        <v>155.23</v>
      </c>
      <c r="I542" s="5">
        <f t="shared" si="1"/>
        <v>-0.005480703357</v>
      </c>
      <c r="K542" s="5">
        <f t="shared" si="2"/>
        <v>0.008921279136</v>
      </c>
      <c r="L542" s="5">
        <f t="shared" si="3"/>
        <v>-0.01214003388</v>
      </c>
      <c r="M542" s="5">
        <f t="shared" si="4"/>
        <v>-0.0179733299</v>
      </c>
      <c r="Q542" s="5"/>
    </row>
    <row r="543">
      <c r="A543" s="4">
        <f>IFERROR(__xludf.DUMMYFUNCTION("""COMPUTED_VALUE"""),45068.66666666667)</f>
        <v>45068.66667</v>
      </c>
      <c r="B543" s="1">
        <f>IFERROR(__xludf.DUMMYFUNCTION("""COMPUTED_VALUE"""),174.2)</f>
        <v>174.2</v>
      </c>
      <c r="C543" s="4">
        <f>IFERROR(__xludf.DUMMYFUNCTION("""COMPUTED_VALUE"""),45068.66666666667)</f>
        <v>45068.66667</v>
      </c>
      <c r="D543" s="1">
        <f>IFERROR(__xludf.DUMMYFUNCTION("""COMPUTED_VALUE"""),321.18)</f>
        <v>321.18</v>
      </c>
      <c r="E543" s="4">
        <f>IFERROR(__xludf.DUMMYFUNCTION("""COMPUTED_VALUE"""),45068.66666666667)</f>
        <v>45068.66667</v>
      </c>
      <c r="F543" s="1">
        <f>IFERROR(__xludf.DUMMYFUNCTION("""COMPUTED_VALUE"""),104.97)</f>
        <v>104.97</v>
      </c>
      <c r="G543" s="4">
        <f>IFERROR(__xludf.DUMMYFUNCTION("""COMPUTED_VALUE"""),45068.66666666667)</f>
        <v>45068.66667</v>
      </c>
      <c r="H543" s="1">
        <f>IFERROR(__xludf.DUMMYFUNCTION("""COMPUTED_VALUE"""),152.44)</f>
        <v>152.44</v>
      </c>
      <c r="I543" s="5">
        <f t="shared" si="1"/>
        <v>-0.01515499426</v>
      </c>
      <c r="K543" s="5">
        <f t="shared" si="2"/>
        <v>-0.01843203188</v>
      </c>
      <c r="L543" s="5">
        <f t="shared" si="3"/>
        <v>0.01362293989</v>
      </c>
      <c r="M543" s="5">
        <f t="shared" si="4"/>
        <v>0.02892941485</v>
      </c>
      <c r="Q543" s="5"/>
    </row>
    <row r="544">
      <c r="A544" s="4">
        <f>IFERROR(__xludf.DUMMYFUNCTION("""COMPUTED_VALUE"""),45069.66666666667)</f>
        <v>45069.66667</v>
      </c>
      <c r="B544" s="1">
        <f>IFERROR(__xludf.DUMMYFUNCTION("""COMPUTED_VALUE"""),171.56)</f>
        <v>171.56</v>
      </c>
      <c r="C544" s="4">
        <f>IFERROR(__xludf.DUMMYFUNCTION("""COMPUTED_VALUE"""),45069.66666666667)</f>
        <v>45069.66667</v>
      </c>
      <c r="D544" s="1">
        <f>IFERROR(__xludf.DUMMYFUNCTION("""COMPUTED_VALUE"""),315.26)</f>
        <v>315.26</v>
      </c>
      <c r="E544" s="4">
        <f>IFERROR(__xludf.DUMMYFUNCTION("""COMPUTED_VALUE"""),45069.66666666667)</f>
        <v>45069.66667</v>
      </c>
      <c r="F544" s="1">
        <f>IFERROR(__xludf.DUMMYFUNCTION("""COMPUTED_VALUE"""),106.4)</f>
        <v>106.4</v>
      </c>
      <c r="G544" s="4">
        <f>IFERROR(__xludf.DUMMYFUNCTION("""COMPUTED_VALUE"""),45069.66666666667)</f>
        <v>45069.66667</v>
      </c>
      <c r="H544" s="1">
        <f>IFERROR(__xludf.DUMMYFUNCTION("""COMPUTED_VALUE"""),156.85)</f>
        <v>156.85</v>
      </c>
      <c r="I544" s="5">
        <f t="shared" si="1"/>
        <v>0.00163208207</v>
      </c>
      <c r="K544" s="5">
        <f t="shared" si="2"/>
        <v>-0.00447249889</v>
      </c>
      <c r="L544" s="5">
        <f t="shared" si="3"/>
        <v>0.01118421053</v>
      </c>
      <c r="M544" s="5">
        <f t="shared" si="4"/>
        <v>0.002677717565</v>
      </c>
      <c r="Q544" s="5"/>
    </row>
    <row r="545">
      <c r="A545" s="4">
        <f>IFERROR(__xludf.DUMMYFUNCTION("""COMPUTED_VALUE"""),45070.66666666667)</f>
        <v>45070.66667</v>
      </c>
      <c r="B545" s="1">
        <f>IFERROR(__xludf.DUMMYFUNCTION("""COMPUTED_VALUE"""),171.84)</f>
        <v>171.84</v>
      </c>
      <c r="C545" s="4">
        <f>IFERROR(__xludf.DUMMYFUNCTION("""COMPUTED_VALUE"""),45070.66666666667)</f>
        <v>45070.66667</v>
      </c>
      <c r="D545" s="1">
        <f>IFERROR(__xludf.DUMMYFUNCTION("""COMPUTED_VALUE"""),313.85)</f>
        <v>313.85</v>
      </c>
      <c r="E545" s="4">
        <f>IFERROR(__xludf.DUMMYFUNCTION("""COMPUTED_VALUE"""),45070.66666666667)</f>
        <v>45070.66667</v>
      </c>
      <c r="F545" s="1">
        <f>IFERROR(__xludf.DUMMYFUNCTION("""COMPUTED_VALUE"""),107.59)</f>
        <v>107.59</v>
      </c>
      <c r="G545" s="4">
        <f>IFERROR(__xludf.DUMMYFUNCTION("""COMPUTED_VALUE"""),45070.66666666667)</f>
        <v>45070.66667</v>
      </c>
      <c r="H545" s="1">
        <f>IFERROR(__xludf.DUMMYFUNCTION("""COMPUTED_VALUE"""),157.27)</f>
        <v>157.27</v>
      </c>
      <c r="I545" s="5">
        <f t="shared" si="1"/>
        <v>0.006692271881</v>
      </c>
      <c r="K545" s="5">
        <f t="shared" si="2"/>
        <v>0.03845786204</v>
      </c>
      <c r="L545" s="5">
        <f t="shared" si="3"/>
        <v>-0.01793847012</v>
      </c>
      <c r="M545" s="5">
        <f t="shared" si="4"/>
        <v>-0.01723151269</v>
      </c>
      <c r="Q545" s="5"/>
    </row>
    <row r="546">
      <c r="A546" s="4">
        <f>IFERROR(__xludf.DUMMYFUNCTION("""COMPUTED_VALUE"""),45071.66666666667)</f>
        <v>45071.66667</v>
      </c>
      <c r="B546" s="1">
        <f>IFERROR(__xludf.DUMMYFUNCTION("""COMPUTED_VALUE"""),172.99)</f>
        <v>172.99</v>
      </c>
      <c r="C546" s="4">
        <f>IFERROR(__xludf.DUMMYFUNCTION("""COMPUTED_VALUE"""),45071.66666666667)</f>
        <v>45071.66667</v>
      </c>
      <c r="D546" s="1">
        <f>IFERROR(__xludf.DUMMYFUNCTION("""COMPUTED_VALUE"""),325.92)</f>
        <v>325.92</v>
      </c>
      <c r="E546" s="4">
        <f>IFERROR(__xludf.DUMMYFUNCTION("""COMPUTED_VALUE"""),45071.66666666667)</f>
        <v>45071.66667</v>
      </c>
      <c r="F546" s="1">
        <f>IFERROR(__xludf.DUMMYFUNCTION("""COMPUTED_VALUE"""),105.66)</f>
        <v>105.66</v>
      </c>
      <c r="G546" s="4">
        <f>IFERROR(__xludf.DUMMYFUNCTION("""COMPUTED_VALUE"""),45071.66666666667)</f>
        <v>45071.66667</v>
      </c>
      <c r="H546" s="1">
        <f>IFERROR(__xludf.DUMMYFUNCTION("""COMPUTED_VALUE"""),154.56)</f>
        <v>154.56</v>
      </c>
      <c r="I546" s="5">
        <f t="shared" si="1"/>
        <v>0.01410486155</v>
      </c>
      <c r="K546" s="5">
        <f t="shared" si="2"/>
        <v>0.0213856161</v>
      </c>
      <c r="L546" s="5">
        <f t="shared" si="3"/>
        <v>-0.006530380466</v>
      </c>
      <c r="M546" s="5">
        <f t="shared" si="4"/>
        <v>-0.003105590062</v>
      </c>
      <c r="Q546" s="5"/>
    </row>
    <row r="547">
      <c r="A547" s="4">
        <f>IFERROR(__xludf.DUMMYFUNCTION("""COMPUTED_VALUE"""),45072.66666666667)</f>
        <v>45072.66667</v>
      </c>
      <c r="B547" s="1">
        <f>IFERROR(__xludf.DUMMYFUNCTION("""COMPUTED_VALUE"""),175.43)</f>
        <v>175.43</v>
      </c>
      <c r="C547" s="4">
        <f>IFERROR(__xludf.DUMMYFUNCTION("""COMPUTED_VALUE"""),45072.66666666667)</f>
        <v>45072.66667</v>
      </c>
      <c r="D547" s="1">
        <f>IFERROR(__xludf.DUMMYFUNCTION("""COMPUTED_VALUE"""),332.89)</f>
        <v>332.89</v>
      </c>
      <c r="E547" s="4">
        <f>IFERROR(__xludf.DUMMYFUNCTION("""COMPUTED_VALUE"""),45072.66666666667)</f>
        <v>45072.66667</v>
      </c>
      <c r="F547" s="1">
        <f>IFERROR(__xludf.DUMMYFUNCTION("""COMPUTED_VALUE"""),104.97)</f>
        <v>104.97</v>
      </c>
      <c r="G547" s="4">
        <f>IFERROR(__xludf.DUMMYFUNCTION("""COMPUTED_VALUE"""),45072.66666666667)</f>
        <v>45072.66667</v>
      </c>
      <c r="H547" s="1">
        <f>IFERROR(__xludf.DUMMYFUNCTION("""COMPUTED_VALUE"""),154.08)</f>
        <v>154.08</v>
      </c>
      <c r="I547" s="5">
        <f t="shared" si="1"/>
        <v>0.01065952232</v>
      </c>
      <c r="K547" s="5">
        <f t="shared" si="2"/>
        <v>-0.005046712127</v>
      </c>
      <c r="L547" s="5">
        <f t="shared" si="3"/>
        <v>-0.008859674193</v>
      </c>
      <c r="M547" s="5">
        <f t="shared" si="4"/>
        <v>-0.006230529595</v>
      </c>
      <c r="Q547" s="5"/>
    </row>
    <row r="548">
      <c r="A548" s="4">
        <f>IFERROR(__xludf.DUMMYFUNCTION("""COMPUTED_VALUE"""),45076.66666666667)</f>
        <v>45076.66667</v>
      </c>
      <c r="B548" s="1">
        <f>IFERROR(__xludf.DUMMYFUNCTION("""COMPUTED_VALUE"""),177.3)</f>
        <v>177.3</v>
      </c>
      <c r="C548" s="4">
        <f>IFERROR(__xludf.DUMMYFUNCTION("""COMPUTED_VALUE"""),45076.66666666667)</f>
        <v>45076.66667</v>
      </c>
      <c r="D548" s="1">
        <f>IFERROR(__xludf.DUMMYFUNCTION("""COMPUTED_VALUE"""),331.21)</f>
        <v>331.21</v>
      </c>
      <c r="E548" s="4">
        <f>IFERROR(__xludf.DUMMYFUNCTION("""COMPUTED_VALUE"""),45076.66666666667)</f>
        <v>45076.66667</v>
      </c>
      <c r="F548" s="1">
        <f>IFERROR(__xludf.DUMMYFUNCTION("""COMPUTED_VALUE"""),104.04)</f>
        <v>104.04</v>
      </c>
      <c r="G548" s="4">
        <f>IFERROR(__xludf.DUMMYFUNCTION("""COMPUTED_VALUE"""),45076.66666666667)</f>
        <v>45076.66667</v>
      </c>
      <c r="H548" s="1">
        <f>IFERROR(__xludf.DUMMYFUNCTION("""COMPUTED_VALUE"""),153.12)</f>
        <v>153.12</v>
      </c>
      <c r="I548" s="5">
        <f t="shared" si="1"/>
        <v>-0.0002820078962</v>
      </c>
      <c r="K548" s="5">
        <f t="shared" si="2"/>
        <v>-0.008514235681</v>
      </c>
      <c r="L548" s="5">
        <f t="shared" si="3"/>
        <v>-0.01787773933</v>
      </c>
      <c r="M548" s="5">
        <f t="shared" si="4"/>
        <v>-0.01632706374</v>
      </c>
      <c r="Q548" s="5"/>
    </row>
    <row r="549">
      <c r="A549" s="4">
        <f>IFERROR(__xludf.DUMMYFUNCTION("""COMPUTED_VALUE"""),45077.66666666667)</f>
        <v>45077.66667</v>
      </c>
      <c r="B549" s="1">
        <f>IFERROR(__xludf.DUMMYFUNCTION("""COMPUTED_VALUE"""),177.25)</f>
        <v>177.25</v>
      </c>
      <c r="C549" s="4">
        <f>IFERROR(__xludf.DUMMYFUNCTION("""COMPUTED_VALUE"""),45077.66666666667)</f>
        <v>45077.66667</v>
      </c>
      <c r="D549" s="1">
        <f>IFERROR(__xludf.DUMMYFUNCTION("""COMPUTED_VALUE"""),328.39)</f>
        <v>328.39</v>
      </c>
      <c r="E549" s="4">
        <f>IFERROR(__xludf.DUMMYFUNCTION("""COMPUTED_VALUE"""),45077.66666666667)</f>
        <v>45077.66667</v>
      </c>
      <c r="F549" s="1">
        <f>IFERROR(__xludf.DUMMYFUNCTION("""COMPUTED_VALUE"""),102.18)</f>
        <v>102.18</v>
      </c>
      <c r="G549" s="4">
        <f>IFERROR(__xludf.DUMMYFUNCTION("""COMPUTED_VALUE"""),45077.66666666667)</f>
        <v>45077.66667</v>
      </c>
      <c r="H549" s="1">
        <f>IFERROR(__xludf.DUMMYFUNCTION("""COMPUTED_VALUE"""),150.62)</f>
        <v>150.62</v>
      </c>
      <c r="I549" s="5">
        <f t="shared" si="1"/>
        <v>0.016022567</v>
      </c>
      <c r="K549" s="5">
        <f t="shared" si="2"/>
        <v>0.01275921922</v>
      </c>
      <c r="L549" s="5">
        <f t="shared" si="3"/>
        <v>0.01154824819</v>
      </c>
      <c r="M549" s="5">
        <f t="shared" si="4"/>
        <v>0.01022440579</v>
      </c>
      <c r="Q549" s="5"/>
    </row>
    <row r="550">
      <c r="A550" s="4">
        <f>IFERROR(__xludf.DUMMYFUNCTION("""COMPUTED_VALUE"""),45078.66666666667)</f>
        <v>45078.66667</v>
      </c>
      <c r="B550" s="1">
        <f>IFERROR(__xludf.DUMMYFUNCTION("""COMPUTED_VALUE"""),180.09)</f>
        <v>180.09</v>
      </c>
      <c r="C550" s="4">
        <f>IFERROR(__xludf.DUMMYFUNCTION("""COMPUTED_VALUE"""),45078.66666666667)</f>
        <v>45078.66667</v>
      </c>
      <c r="D550" s="1">
        <f>IFERROR(__xludf.DUMMYFUNCTION("""COMPUTED_VALUE"""),332.58)</f>
        <v>332.58</v>
      </c>
      <c r="E550" s="4">
        <f>IFERROR(__xludf.DUMMYFUNCTION("""COMPUTED_VALUE"""),45078.66666666667)</f>
        <v>45078.66667</v>
      </c>
      <c r="F550" s="1">
        <f>IFERROR(__xludf.DUMMYFUNCTION("""COMPUTED_VALUE"""),103.36)</f>
        <v>103.36</v>
      </c>
      <c r="G550" s="4">
        <f>IFERROR(__xludf.DUMMYFUNCTION("""COMPUTED_VALUE"""),45078.66666666667)</f>
        <v>45078.66667</v>
      </c>
      <c r="H550" s="1">
        <f>IFERROR(__xludf.DUMMYFUNCTION("""COMPUTED_VALUE"""),152.16)</f>
        <v>152.16</v>
      </c>
      <c r="I550" s="5">
        <f t="shared" si="1"/>
        <v>0.004775390083</v>
      </c>
      <c r="K550" s="5">
        <f t="shared" si="2"/>
        <v>0.008479162908</v>
      </c>
      <c r="L550" s="5">
        <f t="shared" si="3"/>
        <v>0.02321981424</v>
      </c>
      <c r="M550" s="5">
        <f t="shared" si="4"/>
        <v>0.02694532072</v>
      </c>
      <c r="Q550" s="5"/>
    </row>
    <row r="551">
      <c r="A551" s="4">
        <f>IFERROR(__xludf.DUMMYFUNCTION("""COMPUTED_VALUE"""),45079.66666666667)</f>
        <v>45079.66667</v>
      </c>
      <c r="B551" s="1">
        <f>IFERROR(__xludf.DUMMYFUNCTION("""COMPUTED_VALUE"""),180.95)</f>
        <v>180.95</v>
      </c>
      <c r="C551" s="4">
        <f>IFERROR(__xludf.DUMMYFUNCTION("""COMPUTED_VALUE"""),45079.66666666667)</f>
        <v>45079.66667</v>
      </c>
      <c r="D551" s="1">
        <f>IFERROR(__xludf.DUMMYFUNCTION("""COMPUTED_VALUE"""),335.4)</f>
        <v>335.4</v>
      </c>
      <c r="E551" s="4">
        <f>IFERROR(__xludf.DUMMYFUNCTION("""COMPUTED_VALUE"""),45079.66666666667)</f>
        <v>45079.66667</v>
      </c>
      <c r="F551" s="1">
        <f>IFERROR(__xludf.DUMMYFUNCTION("""COMPUTED_VALUE"""),105.76)</f>
        <v>105.76</v>
      </c>
      <c r="G551" s="4">
        <f>IFERROR(__xludf.DUMMYFUNCTION("""COMPUTED_VALUE"""),45079.66666666667)</f>
        <v>45079.66667</v>
      </c>
      <c r="H551" s="1">
        <f>IFERROR(__xludf.DUMMYFUNCTION("""COMPUTED_VALUE"""),156.26)</f>
        <v>156.26</v>
      </c>
      <c r="I551" s="5">
        <f t="shared" si="1"/>
        <v>-0.007571152252</v>
      </c>
      <c r="K551" s="5">
        <f t="shared" si="2"/>
        <v>0.001610017889</v>
      </c>
      <c r="L551" s="5">
        <f t="shared" si="3"/>
        <v>-0.004444024206</v>
      </c>
      <c r="M551" s="5">
        <f t="shared" si="4"/>
        <v>-0.00479969282</v>
      </c>
      <c r="Q551" s="5"/>
    </row>
    <row r="552">
      <c r="A552" s="4">
        <f>IFERROR(__xludf.DUMMYFUNCTION("""COMPUTED_VALUE"""),45082.66666666667)</f>
        <v>45082.66667</v>
      </c>
      <c r="B552" s="1">
        <f>IFERROR(__xludf.DUMMYFUNCTION("""COMPUTED_VALUE"""),179.58)</f>
        <v>179.58</v>
      </c>
      <c r="C552" s="4">
        <f>IFERROR(__xludf.DUMMYFUNCTION("""COMPUTED_VALUE"""),45082.66666666667)</f>
        <v>45082.66667</v>
      </c>
      <c r="D552" s="1">
        <f>IFERROR(__xludf.DUMMYFUNCTION("""COMPUTED_VALUE"""),335.94)</f>
        <v>335.94</v>
      </c>
      <c r="E552" s="4">
        <f>IFERROR(__xludf.DUMMYFUNCTION("""COMPUTED_VALUE"""),45082.66666666667)</f>
        <v>45082.66667</v>
      </c>
      <c r="F552" s="1">
        <f>IFERROR(__xludf.DUMMYFUNCTION("""COMPUTED_VALUE"""),105.29)</f>
        <v>105.29</v>
      </c>
      <c r="G552" s="4">
        <f>IFERROR(__xludf.DUMMYFUNCTION("""COMPUTED_VALUE"""),45082.66666666667)</f>
        <v>45082.66667</v>
      </c>
      <c r="H552" s="1">
        <f>IFERROR(__xludf.DUMMYFUNCTION("""COMPUTED_VALUE"""),155.51)</f>
        <v>155.51</v>
      </c>
      <c r="I552" s="5">
        <f t="shared" si="1"/>
        <v>-0.002060363069</v>
      </c>
      <c r="K552" s="5">
        <f t="shared" si="2"/>
        <v>-0.006727391796</v>
      </c>
      <c r="L552" s="5">
        <f t="shared" si="3"/>
        <v>0.008167917181</v>
      </c>
      <c r="M552" s="5">
        <f t="shared" si="4"/>
        <v>0.001800527297</v>
      </c>
      <c r="Q552" s="5"/>
    </row>
    <row r="553">
      <c r="A553" s="4">
        <f>IFERROR(__xludf.DUMMYFUNCTION("""COMPUTED_VALUE"""),45083.66666666667)</f>
        <v>45083.66667</v>
      </c>
      <c r="B553" s="1">
        <f>IFERROR(__xludf.DUMMYFUNCTION("""COMPUTED_VALUE"""),179.21)</f>
        <v>179.21</v>
      </c>
      <c r="C553" s="4">
        <f>IFERROR(__xludf.DUMMYFUNCTION("""COMPUTED_VALUE"""),45083.66666666667)</f>
        <v>45083.66667</v>
      </c>
      <c r="D553" s="1">
        <f>IFERROR(__xludf.DUMMYFUNCTION("""COMPUTED_VALUE"""),333.68)</f>
        <v>333.68</v>
      </c>
      <c r="E553" s="4">
        <f>IFERROR(__xludf.DUMMYFUNCTION("""COMPUTED_VALUE"""),45083.66666666667)</f>
        <v>45083.66667</v>
      </c>
      <c r="F553" s="1">
        <f>IFERROR(__xludf.DUMMYFUNCTION("""COMPUTED_VALUE"""),106.15)</f>
        <v>106.15</v>
      </c>
      <c r="G553" s="4">
        <f>IFERROR(__xludf.DUMMYFUNCTION("""COMPUTED_VALUE"""),45083.66666666667)</f>
        <v>45083.66667</v>
      </c>
      <c r="H553" s="1">
        <f>IFERROR(__xludf.DUMMYFUNCTION("""COMPUTED_VALUE"""),155.79)</f>
        <v>155.79</v>
      </c>
      <c r="I553" s="5">
        <f t="shared" si="1"/>
        <v>-0.007756263601</v>
      </c>
      <c r="K553" s="5">
        <f t="shared" si="2"/>
        <v>-0.03086789739</v>
      </c>
      <c r="L553" s="5">
        <f t="shared" si="3"/>
        <v>0.02242110221</v>
      </c>
      <c r="M553" s="5">
        <f t="shared" si="4"/>
        <v>0.02593234482</v>
      </c>
      <c r="Q553" s="5"/>
    </row>
    <row r="554">
      <c r="A554" s="4">
        <f>IFERROR(__xludf.DUMMYFUNCTION("""COMPUTED_VALUE"""),45084.66666666667)</f>
        <v>45084.66667</v>
      </c>
      <c r="B554" s="1">
        <f>IFERROR(__xludf.DUMMYFUNCTION("""COMPUTED_VALUE"""),177.82)</f>
        <v>177.82</v>
      </c>
      <c r="C554" s="4">
        <f>IFERROR(__xludf.DUMMYFUNCTION("""COMPUTED_VALUE"""),45084.66666666667)</f>
        <v>45084.66667</v>
      </c>
      <c r="D554" s="1">
        <f>IFERROR(__xludf.DUMMYFUNCTION("""COMPUTED_VALUE"""),323.38)</f>
        <v>323.38</v>
      </c>
      <c r="E554" s="4">
        <f>IFERROR(__xludf.DUMMYFUNCTION("""COMPUTED_VALUE"""),45084.66666666667)</f>
        <v>45084.66667</v>
      </c>
      <c r="F554" s="1">
        <f>IFERROR(__xludf.DUMMYFUNCTION("""COMPUTED_VALUE"""),108.53)</f>
        <v>108.53</v>
      </c>
      <c r="G554" s="4">
        <f>IFERROR(__xludf.DUMMYFUNCTION("""COMPUTED_VALUE"""),45084.66666666667)</f>
        <v>45084.66667</v>
      </c>
      <c r="H554" s="1">
        <f>IFERROR(__xludf.DUMMYFUNCTION("""COMPUTED_VALUE"""),159.83)</f>
        <v>159.83</v>
      </c>
      <c r="I554" s="5">
        <f t="shared" si="1"/>
        <v>0.01546507704</v>
      </c>
      <c r="K554" s="5">
        <f t="shared" si="2"/>
        <v>0.005813593914</v>
      </c>
      <c r="L554" s="5">
        <f t="shared" si="3"/>
        <v>-0.003132774348</v>
      </c>
      <c r="M554" s="5">
        <f t="shared" si="4"/>
        <v>-0.003691422136</v>
      </c>
      <c r="Q554" s="5"/>
    </row>
    <row r="555">
      <c r="A555" s="4">
        <f>IFERROR(__xludf.DUMMYFUNCTION("""COMPUTED_VALUE"""),45085.66666666667)</f>
        <v>45085.66667</v>
      </c>
      <c r="B555" s="1">
        <f>IFERROR(__xludf.DUMMYFUNCTION("""COMPUTED_VALUE"""),180.57)</f>
        <v>180.57</v>
      </c>
      <c r="C555" s="4">
        <f>IFERROR(__xludf.DUMMYFUNCTION("""COMPUTED_VALUE"""),45085.66666666667)</f>
        <v>45085.66667</v>
      </c>
      <c r="D555" s="1">
        <f>IFERROR(__xludf.DUMMYFUNCTION("""COMPUTED_VALUE"""),325.26)</f>
        <v>325.26</v>
      </c>
      <c r="E555" s="4">
        <f>IFERROR(__xludf.DUMMYFUNCTION("""COMPUTED_VALUE"""),45085.66666666667)</f>
        <v>45085.66667</v>
      </c>
      <c r="F555" s="1">
        <f>IFERROR(__xludf.DUMMYFUNCTION("""COMPUTED_VALUE"""),108.19)</f>
        <v>108.19</v>
      </c>
      <c r="G555" s="4">
        <f>IFERROR(__xludf.DUMMYFUNCTION("""COMPUTED_VALUE"""),45085.66666666667)</f>
        <v>45085.66667</v>
      </c>
      <c r="H555" s="1">
        <f>IFERROR(__xludf.DUMMYFUNCTION("""COMPUTED_VALUE"""),159.24)</f>
        <v>159.24</v>
      </c>
      <c r="I555" s="5">
        <f t="shared" si="1"/>
        <v>0.002159827214</v>
      </c>
      <c r="K555" s="5">
        <f t="shared" si="2"/>
        <v>0.004703929164</v>
      </c>
      <c r="L555" s="5">
        <f t="shared" si="3"/>
        <v>-0.007394398743</v>
      </c>
      <c r="M555" s="5">
        <f t="shared" si="4"/>
        <v>-0.002386335092</v>
      </c>
      <c r="Q555" s="5"/>
    </row>
    <row r="556">
      <c r="A556" s="4">
        <f>IFERROR(__xludf.DUMMYFUNCTION("""COMPUTED_VALUE"""),45086.66666666667)</f>
        <v>45086.66667</v>
      </c>
      <c r="B556" s="1">
        <f>IFERROR(__xludf.DUMMYFUNCTION("""COMPUTED_VALUE"""),180.96)</f>
        <v>180.96</v>
      </c>
      <c r="C556" s="4">
        <f>IFERROR(__xludf.DUMMYFUNCTION("""COMPUTED_VALUE"""),45086.66666666667)</f>
        <v>45086.66667</v>
      </c>
      <c r="D556" s="1">
        <f>IFERROR(__xludf.DUMMYFUNCTION("""COMPUTED_VALUE"""),326.79)</f>
        <v>326.79</v>
      </c>
      <c r="E556" s="4">
        <f>IFERROR(__xludf.DUMMYFUNCTION("""COMPUTED_VALUE"""),45086.66666666667)</f>
        <v>45086.66667</v>
      </c>
      <c r="F556" s="1">
        <f>IFERROR(__xludf.DUMMYFUNCTION("""COMPUTED_VALUE"""),107.39)</f>
        <v>107.39</v>
      </c>
      <c r="G556" s="4">
        <f>IFERROR(__xludf.DUMMYFUNCTION("""COMPUTED_VALUE"""),45086.66666666667)</f>
        <v>45086.66667</v>
      </c>
      <c r="H556" s="1">
        <f>IFERROR(__xludf.DUMMYFUNCTION("""COMPUTED_VALUE"""),158.86)</f>
        <v>158.86</v>
      </c>
      <c r="I556" s="5">
        <f t="shared" si="1"/>
        <v>0.01563881521</v>
      </c>
      <c r="K556" s="5">
        <f t="shared" si="2"/>
        <v>0.01548394994</v>
      </c>
      <c r="L556" s="5">
        <f t="shared" si="3"/>
        <v>-0.00903249837</v>
      </c>
      <c r="M556" s="5">
        <f t="shared" si="4"/>
        <v>-0.009631121742</v>
      </c>
      <c r="Q556" s="5"/>
    </row>
    <row r="557">
      <c r="A557" s="4">
        <f>IFERROR(__xludf.DUMMYFUNCTION("""COMPUTED_VALUE"""),45089.66666666667)</f>
        <v>45089.66667</v>
      </c>
      <c r="B557" s="1">
        <f>IFERROR(__xludf.DUMMYFUNCTION("""COMPUTED_VALUE"""),183.79)</f>
        <v>183.79</v>
      </c>
      <c r="C557" s="4">
        <f>IFERROR(__xludf.DUMMYFUNCTION("""COMPUTED_VALUE"""),45089.66666666667)</f>
        <v>45089.66667</v>
      </c>
      <c r="D557" s="1">
        <f>IFERROR(__xludf.DUMMYFUNCTION("""COMPUTED_VALUE"""),331.85)</f>
        <v>331.85</v>
      </c>
      <c r="E557" s="4">
        <f>IFERROR(__xludf.DUMMYFUNCTION("""COMPUTED_VALUE"""),45089.66666666667)</f>
        <v>45089.66667</v>
      </c>
      <c r="F557" s="1">
        <f>IFERROR(__xludf.DUMMYFUNCTION("""COMPUTED_VALUE"""),106.42)</f>
        <v>106.42</v>
      </c>
      <c r="G557" s="4">
        <f>IFERROR(__xludf.DUMMYFUNCTION("""COMPUTED_VALUE"""),45089.66666666667)</f>
        <v>45089.66667</v>
      </c>
      <c r="H557" s="1">
        <f>IFERROR(__xludf.DUMMYFUNCTION("""COMPUTED_VALUE"""),157.33)</f>
        <v>157.33</v>
      </c>
      <c r="I557" s="5">
        <f t="shared" si="1"/>
        <v>-0.00261167637</v>
      </c>
      <c r="K557" s="5">
        <f t="shared" si="2"/>
        <v>0.007352719602</v>
      </c>
      <c r="L557" s="5">
        <f t="shared" si="3"/>
        <v>0.0001879345988</v>
      </c>
      <c r="M557" s="5">
        <f t="shared" si="4"/>
        <v>0.007500158902</v>
      </c>
      <c r="Q557" s="5"/>
    </row>
    <row r="558">
      <c r="A558" s="4">
        <f>IFERROR(__xludf.DUMMYFUNCTION("""COMPUTED_VALUE"""),45090.66666666667)</f>
        <v>45090.66667</v>
      </c>
      <c r="B558" s="1">
        <f>IFERROR(__xludf.DUMMYFUNCTION("""COMPUTED_VALUE"""),183.31)</f>
        <v>183.31</v>
      </c>
      <c r="C558" s="4">
        <f>IFERROR(__xludf.DUMMYFUNCTION("""COMPUTED_VALUE"""),45090.66666666667)</f>
        <v>45090.66667</v>
      </c>
      <c r="D558" s="1">
        <f>IFERROR(__xludf.DUMMYFUNCTION("""COMPUTED_VALUE"""),334.29)</f>
        <v>334.29</v>
      </c>
      <c r="E558" s="4">
        <f>IFERROR(__xludf.DUMMYFUNCTION("""COMPUTED_VALUE"""),45090.66666666667)</f>
        <v>45090.66667</v>
      </c>
      <c r="F558" s="1">
        <f>IFERROR(__xludf.DUMMYFUNCTION("""COMPUTED_VALUE"""),106.44)</f>
        <v>106.44</v>
      </c>
      <c r="G558" s="4">
        <f>IFERROR(__xludf.DUMMYFUNCTION("""COMPUTED_VALUE"""),45090.66666666667)</f>
        <v>45090.66667</v>
      </c>
      <c r="H558" s="1">
        <f>IFERROR(__xludf.DUMMYFUNCTION("""COMPUTED_VALUE"""),158.51)</f>
        <v>158.51</v>
      </c>
      <c r="I558" s="5">
        <f t="shared" si="1"/>
        <v>0.003491353445</v>
      </c>
      <c r="K558" s="5">
        <f t="shared" si="2"/>
        <v>0.009123814652</v>
      </c>
      <c r="L558" s="5">
        <f t="shared" si="3"/>
        <v>-0.0120255543</v>
      </c>
      <c r="M558" s="5">
        <f t="shared" si="4"/>
        <v>-0.008958425336</v>
      </c>
      <c r="Q558" s="5"/>
    </row>
    <row r="559">
      <c r="A559" s="4">
        <f>IFERROR(__xludf.DUMMYFUNCTION("""COMPUTED_VALUE"""),45091.66666666667)</f>
        <v>45091.66667</v>
      </c>
      <c r="B559" s="1">
        <f>IFERROR(__xludf.DUMMYFUNCTION("""COMPUTED_VALUE"""),183.95)</f>
        <v>183.95</v>
      </c>
      <c r="C559" s="4">
        <f>IFERROR(__xludf.DUMMYFUNCTION("""COMPUTED_VALUE"""),45091.66666666667)</f>
        <v>45091.66667</v>
      </c>
      <c r="D559" s="1">
        <f>IFERROR(__xludf.DUMMYFUNCTION("""COMPUTED_VALUE"""),337.34)</f>
        <v>337.34</v>
      </c>
      <c r="E559" s="4">
        <f>IFERROR(__xludf.DUMMYFUNCTION("""COMPUTED_VALUE"""),45091.66666666667)</f>
        <v>45091.66667</v>
      </c>
      <c r="F559" s="1">
        <f>IFERROR(__xludf.DUMMYFUNCTION("""COMPUTED_VALUE"""),105.16)</f>
        <v>105.16</v>
      </c>
      <c r="G559" s="4">
        <f>IFERROR(__xludf.DUMMYFUNCTION("""COMPUTED_VALUE"""),45091.66666666667)</f>
        <v>45091.66667</v>
      </c>
      <c r="H559" s="1">
        <f>IFERROR(__xludf.DUMMYFUNCTION("""COMPUTED_VALUE"""),157.09)</f>
        <v>157.09</v>
      </c>
      <c r="I559" s="5">
        <f t="shared" si="1"/>
        <v>0.0111986953</v>
      </c>
      <c r="K559" s="5">
        <f t="shared" si="2"/>
        <v>0.03189660283</v>
      </c>
      <c r="L559" s="5">
        <f t="shared" si="3"/>
        <v>0.006941802967</v>
      </c>
      <c r="M559" s="5">
        <f t="shared" si="4"/>
        <v>0.00757527532</v>
      </c>
      <c r="Q559" s="5"/>
    </row>
    <row r="560">
      <c r="A560" s="4">
        <f>IFERROR(__xludf.DUMMYFUNCTION("""COMPUTED_VALUE"""),45092.66666666667)</f>
        <v>45092.66667</v>
      </c>
      <c r="B560" s="1">
        <f>IFERROR(__xludf.DUMMYFUNCTION("""COMPUTED_VALUE"""),186.01)</f>
        <v>186.01</v>
      </c>
      <c r="C560" s="4">
        <f>IFERROR(__xludf.DUMMYFUNCTION("""COMPUTED_VALUE"""),45092.66666666667)</f>
        <v>45092.66667</v>
      </c>
      <c r="D560" s="1">
        <f>IFERROR(__xludf.DUMMYFUNCTION("""COMPUTED_VALUE"""),348.1)</f>
        <v>348.1</v>
      </c>
      <c r="E560" s="4">
        <f>IFERROR(__xludf.DUMMYFUNCTION("""COMPUTED_VALUE"""),45092.66666666667)</f>
        <v>45092.66667</v>
      </c>
      <c r="F560" s="1">
        <f>IFERROR(__xludf.DUMMYFUNCTION("""COMPUTED_VALUE"""),105.89)</f>
        <v>105.89</v>
      </c>
      <c r="G560" s="4">
        <f>IFERROR(__xludf.DUMMYFUNCTION("""COMPUTED_VALUE"""),45092.66666666667)</f>
        <v>45092.66667</v>
      </c>
      <c r="H560" s="1">
        <f>IFERROR(__xludf.DUMMYFUNCTION("""COMPUTED_VALUE"""),158.28)</f>
        <v>158.28</v>
      </c>
      <c r="I560" s="5">
        <f t="shared" si="1"/>
        <v>-0.005859900005</v>
      </c>
      <c r="K560" s="5">
        <f t="shared" si="2"/>
        <v>-0.01657569664</v>
      </c>
      <c r="L560" s="5">
        <f t="shared" si="3"/>
        <v>-0.00717725942</v>
      </c>
      <c r="M560" s="5">
        <f t="shared" si="4"/>
        <v>-0.006444275967</v>
      </c>
      <c r="Q560" s="5"/>
    </row>
    <row r="561">
      <c r="A561" s="4">
        <f>IFERROR(__xludf.DUMMYFUNCTION("""COMPUTED_VALUE"""),45093.66666666667)</f>
        <v>45093.66667</v>
      </c>
      <c r="B561" s="1">
        <f>IFERROR(__xludf.DUMMYFUNCTION("""COMPUTED_VALUE"""),184.92)</f>
        <v>184.92</v>
      </c>
      <c r="C561" s="4">
        <f>IFERROR(__xludf.DUMMYFUNCTION("""COMPUTED_VALUE"""),45093.66666666667)</f>
        <v>45093.66667</v>
      </c>
      <c r="D561" s="1">
        <f>IFERROR(__xludf.DUMMYFUNCTION("""COMPUTED_VALUE"""),342.33)</f>
        <v>342.33</v>
      </c>
      <c r="E561" s="4">
        <f>IFERROR(__xludf.DUMMYFUNCTION("""COMPUTED_VALUE"""),45093.66666666667)</f>
        <v>45093.66667</v>
      </c>
      <c r="F561" s="1">
        <f>IFERROR(__xludf.DUMMYFUNCTION("""COMPUTED_VALUE"""),105.13)</f>
        <v>105.13</v>
      </c>
      <c r="G561" s="4">
        <f>IFERROR(__xludf.DUMMYFUNCTION("""COMPUTED_VALUE"""),45093.66666666667)</f>
        <v>45093.66667</v>
      </c>
      <c r="H561" s="1">
        <f>IFERROR(__xludf.DUMMYFUNCTION("""COMPUTED_VALUE"""),157.26)</f>
        <v>157.26</v>
      </c>
      <c r="I561" s="5">
        <f t="shared" si="1"/>
        <v>0.00048669695</v>
      </c>
      <c r="K561" s="5">
        <f t="shared" si="2"/>
        <v>-0.01250255601</v>
      </c>
      <c r="L561" s="5">
        <f t="shared" si="3"/>
        <v>-0.02292399886</v>
      </c>
      <c r="M561" s="5">
        <f t="shared" si="4"/>
        <v>-0.02276484802</v>
      </c>
      <c r="Q561" s="5"/>
    </row>
    <row r="562">
      <c r="A562" s="4">
        <f>IFERROR(__xludf.DUMMYFUNCTION("""COMPUTED_VALUE"""),45097.66666666667)</f>
        <v>45097.66667</v>
      </c>
      <c r="B562" s="1">
        <f>IFERROR(__xludf.DUMMYFUNCTION("""COMPUTED_VALUE"""),185.01)</f>
        <v>185.01</v>
      </c>
      <c r="C562" s="4">
        <f>IFERROR(__xludf.DUMMYFUNCTION("""COMPUTED_VALUE"""),45097.66666666667)</f>
        <v>45097.66667</v>
      </c>
      <c r="D562" s="1">
        <f>IFERROR(__xludf.DUMMYFUNCTION("""COMPUTED_VALUE"""),338.05)</f>
        <v>338.05</v>
      </c>
      <c r="E562" s="4">
        <f>IFERROR(__xludf.DUMMYFUNCTION("""COMPUTED_VALUE"""),45097.66666666667)</f>
        <v>45097.66667</v>
      </c>
      <c r="F562" s="1">
        <f>IFERROR(__xludf.DUMMYFUNCTION("""COMPUTED_VALUE"""),102.72)</f>
        <v>102.72</v>
      </c>
      <c r="G562" s="4">
        <f>IFERROR(__xludf.DUMMYFUNCTION("""COMPUTED_VALUE"""),45097.66666666667)</f>
        <v>45097.66667</v>
      </c>
      <c r="H562" s="1">
        <f>IFERROR(__xludf.DUMMYFUNCTION("""COMPUTED_VALUE"""),153.68)</f>
        <v>153.68</v>
      </c>
      <c r="I562" s="5">
        <f t="shared" si="1"/>
        <v>-0.005675368899</v>
      </c>
      <c r="K562" s="5">
        <f t="shared" si="2"/>
        <v>-0.01328205887</v>
      </c>
      <c r="L562" s="5">
        <f t="shared" si="3"/>
        <v>0.01119548287</v>
      </c>
      <c r="M562" s="5">
        <f t="shared" si="4"/>
        <v>0.007808433108</v>
      </c>
      <c r="Q562" s="5"/>
    </row>
    <row r="563">
      <c r="A563" s="4">
        <f>IFERROR(__xludf.DUMMYFUNCTION("""COMPUTED_VALUE"""),45098.66666666667)</f>
        <v>45098.66667</v>
      </c>
      <c r="B563" s="1">
        <f>IFERROR(__xludf.DUMMYFUNCTION("""COMPUTED_VALUE"""),183.96)</f>
        <v>183.96</v>
      </c>
      <c r="C563" s="4">
        <f>IFERROR(__xludf.DUMMYFUNCTION("""COMPUTED_VALUE"""),45098.66666666667)</f>
        <v>45098.66667</v>
      </c>
      <c r="D563" s="1">
        <f>IFERROR(__xludf.DUMMYFUNCTION("""COMPUTED_VALUE"""),333.56)</f>
        <v>333.56</v>
      </c>
      <c r="E563" s="4">
        <f>IFERROR(__xludf.DUMMYFUNCTION("""COMPUTED_VALUE"""),45098.66666666667)</f>
        <v>45098.66667</v>
      </c>
      <c r="F563" s="1">
        <f>IFERROR(__xludf.DUMMYFUNCTION("""COMPUTED_VALUE"""),103.87)</f>
        <v>103.87</v>
      </c>
      <c r="G563" s="4">
        <f>IFERROR(__xludf.DUMMYFUNCTION("""COMPUTED_VALUE"""),45098.66666666667)</f>
        <v>45098.66667</v>
      </c>
      <c r="H563" s="1">
        <f>IFERROR(__xludf.DUMMYFUNCTION("""COMPUTED_VALUE"""),154.88)</f>
        <v>154.88</v>
      </c>
      <c r="I563" s="5">
        <f t="shared" si="1"/>
        <v>0.01652533159</v>
      </c>
      <c r="K563" s="5">
        <f t="shared" si="2"/>
        <v>0.01843746253</v>
      </c>
      <c r="L563" s="5">
        <f t="shared" si="3"/>
        <v>-0.005487628767</v>
      </c>
      <c r="M563" s="5">
        <f t="shared" si="4"/>
        <v>-0.01446280992</v>
      </c>
      <c r="Q563" s="5"/>
    </row>
    <row r="564">
      <c r="A564" s="4">
        <f>IFERROR(__xludf.DUMMYFUNCTION("""COMPUTED_VALUE"""),45099.66666666667)</f>
        <v>45099.66667</v>
      </c>
      <c r="B564" s="1">
        <f>IFERROR(__xludf.DUMMYFUNCTION("""COMPUTED_VALUE"""),187.0)</f>
        <v>187</v>
      </c>
      <c r="C564" s="4">
        <f>IFERROR(__xludf.DUMMYFUNCTION("""COMPUTED_VALUE"""),45099.66666666667)</f>
        <v>45099.66667</v>
      </c>
      <c r="D564" s="1">
        <f>IFERROR(__xludf.DUMMYFUNCTION("""COMPUTED_VALUE"""),339.71)</f>
        <v>339.71</v>
      </c>
      <c r="E564" s="4">
        <f>IFERROR(__xludf.DUMMYFUNCTION("""COMPUTED_VALUE"""),45099.66666666667)</f>
        <v>45099.66667</v>
      </c>
      <c r="F564" s="1">
        <f>IFERROR(__xludf.DUMMYFUNCTION("""COMPUTED_VALUE"""),103.3)</f>
        <v>103.3</v>
      </c>
      <c r="G564" s="4">
        <f>IFERROR(__xludf.DUMMYFUNCTION("""COMPUTED_VALUE"""),45099.66666666667)</f>
        <v>45099.66667</v>
      </c>
      <c r="H564" s="1">
        <f>IFERROR(__xludf.DUMMYFUNCTION("""COMPUTED_VALUE"""),152.64)</f>
        <v>152.64</v>
      </c>
      <c r="I564" s="5">
        <f t="shared" si="1"/>
        <v>-0.001711229947</v>
      </c>
      <c r="K564" s="5">
        <f t="shared" si="2"/>
        <v>-0.01380589326</v>
      </c>
      <c r="L564" s="5">
        <f t="shared" si="3"/>
        <v>-0.008712487899</v>
      </c>
      <c r="M564" s="5">
        <f t="shared" si="4"/>
        <v>-0.008451257862</v>
      </c>
      <c r="Q564" s="5"/>
    </row>
    <row r="565">
      <c r="A565" s="4">
        <f>IFERROR(__xludf.DUMMYFUNCTION("""COMPUTED_VALUE"""),45100.66666666667)</f>
        <v>45100.66667</v>
      </c>
      <c r="B565" s="1">
        <f>IFERROR(__xludf.DUMMYFUNCTION("""COMPUTED_VALUE"""),186.68)</f>
        <v>186.68</v>
      </c>
      <c r="C565" s="4">
        <f>IFERROR(__xludf.DUMMYFUNCTION("""COMPUTED_VALUE"""),45100.66666666667)</f>
        <v>45100.66667</v>
      </c>
      <c r="D565" s="1">
        <f>IFERROR(__xludf.DUMMYFUNCTION("""COMPUTED_VALUE"""),335.02)</f>
        <v>335.02</v>
      </c>
      <c r="E565" s="4">
        <f>IFERROR(__xludf.DUMMYFUNCTION("""COMPUTED_VALUE"""),45100.66666666667)</f>
        <v>45100.66667</v>
      </c>
      <c r="F565" s="1">
        <f>IFERROR(__xludf.DUMMYFUNCTION("""COMPUTED_VALUE"""),102.4)</f>
        <v>102.4</v>
      </c>
      <c r="G565" s="4">
        <f>IFERROR(__xludf.DUMMYFUNCTION("""COMPUTED_VALUE"""),45100.66666666667)</f>
        <v>45100.66667</v>
      </c>
      <c r="H565" s="1">
        <f>IFERROR(__xludf.DUMMYFUNCTION("""COMPUTED_VALUE"""),151.35)</f>
        <v>151.35</v>
      </c>
      <c r="I565" s="5">
        <f t="shared" si="1"/>
        <v>-0.007553031926</v>
      </c>
      <c r="K565" s="5">
        <f t="shared" si="2"/>
        <v>-0.01916303504</v>
      </c>
      <c r="L565" s="5">
        <f t="shared" si="3"/>
        <v>0.01845703125</v>
      </c>
      <c r="M565" s="5">
        <f t="shared" si="4"/>
        <v>0.01757515692</v>
      </c>
      <c r="Q565" s="5"/>
    </row>
    <row r="566">
      <c r="A566" s="4">
        <f>IFERROR(__xludf.DUMMYFUNCTION("""COMPUTED_VALUE"""),45103.66666666667)</f>
        <v>45103.66667</v>
      </c>
      <c r="B566" s="1">
        <f>IFERROR(__xludf.DUMMYFUNCTION("""COMPUTED_VALUE"""),185.27)</f>
        <v>185.27</v>
      </c>
      <c r="C566" s="4">
        <f>IFERROR(__xludf.DUMMYFUNCTION("""COMPUTED_VALUE"""),45103.66666666667)</f>
        <v>45103.66667</v>
      </c>
      <c r="D566" s="1">
        <f>IFERROR(__xludf.DUMMYFUNCTION("""COMPUTED_VALUE"""),328.6)</f>
        <v>328.6</v>
      </c>
      <c r="E566" s="4">
        <f>IFERROR(__xludf.DUMMYFUNCTION("""COMPUTED_VALUE"""),45103.66666666667)</f>
        <v>45103.66667</v>
      </c>
      <c r="F566" s="1">
        <f>IFERROR(__xludf.DUMMYFUNCTION("""COMPUTED_VALUE"""),104.29)</f>
        <v>104.29</v>
      </c>
      <c r="G566" s="4">
        <f>IFERROR(__xludf.DUMMYFUNCTION("""COMPUTED_VALUE"""),45103.66666666667)</f>
        <v>45103.66667</v>
      </c>
      <c r="H566" s="1">
        <f>IFERROR(__xludf.DUMMYFUNCTION("""COMPUTED_VALUE"""),154.01)</f>
        <v>154.01</v>
      </c>
      <c r="I566" s="5">
        <f t="shared" si="1"/>
        <v>0.01505910293</v>
      </c>
      <c r="K566" s="5">
        <f t="shared" si="2"/>
        <v>0.01816798539</v>
      </c>
      <c r="L566" s="5">
        <f t="shared" si="3"/>
        <v>0.002493048231</v>
      </c>
      <c r="M566" s="5">
        <f t="shared" si="4"/>
        <v>-0.003116680735</v>
      </c>
      <c r="Q566" s="5"/>
    </row>
    <row r="567">
      <c r="A567" s="4">
        <f>IFERROR(__xludf.DUMMYFUNCTION("""COMPUTED_VALUE"""),45104.66666666667)</f>
        <v>45104.66667</v>
      </c>
      <c r="B567" s="1">
        <f>IFERROR(__xludf.DUMMYFUNCTION("""COMPUTED_VALUE"""),188.06)</f>
        <v>188.06</v>
      </c>
      <c r="C567" s="4">
        <f>IFERROR(__xludf.DUMMYFUNCTION("""COMPUTED_VALUE"""),45104.66666666667)</f>
        <v>45104.66667</v>
      </c>
      <c r="D567" s="1">
        <f>IFERROR(__xludf.DUMMYFUNCTION("""COMPUTED_VALUE"""),334.57)</f>
        <v>334.57</v>
      </c>
      <c r="E567" s="4">
        <f>IFERROR(__xludf.DUMMYFUNCTION("""COMPUTED_VALUE"""),45104.66666666667)</f>
        <v>45104.66667</v>
      </c>
      <c r="F567" s="1">
        <f>IFERROR(__xludf.DUMMYFUNCTION("""COMPUTED_VALUE"""),104.55)</f>
        <v>104.55</v>
      </c>
      <c r="G567" s="4">
        <f>IFERROR(__xludf.DUMMYFUNCTION("""COMPUTED_VALUE"""),45104.66666666667)</f>
        <v>45104.66667</v>
      </c>
      <c r="H567" s="1">
        <f>IFERROR(__xludf.DUMMYFUNCTION("""COMPUTED_VALUE"""),153.53)</f>
        <v>153.53</v>
      </c>
      <c r="I567" s="5">
        <f t="shared" si="1"/>
        <v>0.006327767734</v>
      </c>
      <c r="K567" s="5">
        <f t="shared" si="2"/>
        <v>0.003825806259</v>
      </c>
      <c r="L567" s="5">
        <f t="shared" si="3"/>
        <v>0.008130081301</v>
      </c>
      <c r="M567" s="5">
        <f t="shared" si="4"/>
        <v>0.009053605159</v>
      </c>
      <c r="Q567" s="5"/>
    </row>
    <row r="568">
      <c r="A568" s="4">
        <f>IFERROR(__xludf.DUMMYFUNCTION("""COMPUTED_VALUE"""),45105.66666666667)</f>
        <v>45105.66667</v>
      </c>
      <c r="B568" s="1">
        <f>IFERROR(__xludf.DUMMYFUNCTION("""COMPUTED_VALUE"""),189.25)</f>
        <v>189.25</v>
      </c>
      <c r="C568" s="4">
        <f>IFERROR(__xludf.DUMMYFUNCTION("""COMPUTED_VALUE"""),45105.66666666667)</f>
        <v>45105.66667</v>
      </c>
      <c r="D568" s="1">
        <f>IFERROR(__xludf.DUMMYFUNCTION("""COMPUTED_VALUE"""),335.85)</f>
        <v>335.85</v>
      </c>
      <c r="E568" s="4">
        <f>IFERROR(__xludf.DUMMYFUNCTION("""COMPUTED_VALUE"""),45105.66666666667)</f>
        <v>45105.66667</v>
      </c>
      <c r="F568" s="1">
        <f>IFERROR(__xludf.DUMMYFUNCTION("""COMPUTED_VALUE"""),105.4)</f>
        <v>105.4</v>
      </c>
      <c r="G568" s="4">
        <f>IFERROR(__xludf.DUMMYFUNCTION("""COMPUTED_VALUE"""),45105.66666666667)</f>
        <v>45105.66667</v>
      </c>
      <c r="H568" s="1">
        <f>IFERROR(__xludf.DUMMYFUNCTION("""COMPUTED_VALUE"""),154.92)</f>
        <v>154.92</v>
      </c>
      <c r="I568" s="5">
        <f t="shared" si="1"/>
        <v>0.00179656539</v>
      </c>
      <c r="K568" s="5">
        <f t="shared" si="2"/>
        <v>-0.002382015781</v>
      </c>
      <c r="L568" s="5">
        <f t="shared" si="3"/>
        <v>0.01233396584</v>
      </c>
      <c r="M568" s="5">
        <f t="shared" si="4"/>
        <v>0.008520526723</v>
      </c>
      <c r="Q568" s="5"/>
    </row>
    <row r="569">
      <c r="A569" s="4">
        <f>IFERROR(__xludf.DUMMYFUNCTION("""COMPUTED_VALUE"""),45106.66666666667)</f>
        <v>45106.66667</v>
      </c>
      <c r="B569" s="1">
        <f>IFERROR(__xludf.DUMMYFUNCTION("""COMPUTED_VALUE"""),189.59)</f>
        <v>189.59</v>
      </c>
      <c r="C569" s="4">
        <f>IFERROR(__xludf.DUMMYFUNCTION("""COMPUTED_VALUE"""),45106.66666666667)</f>
        <v>45106.66667</v>
      </c>
      <c r="D569" s="1">
        <f>IFERROR(__xludf.DUMMYFUNCTION("""COMPUTED_VALUE"""),335.05)</f>
        <v>335.05</v>
      </c>
      <c r="E569" s="4">
        <f>IFERROR(__xludf.DUMMYFUNCTION("""COMPUTED_VALUE"""),45106.66666666667)</f>
        <v>45106.66667</v>
      </c>
      <c r="F569" s="1">
        <f>IFERROR(__xludf.DUMMYFUNCTION("""COMPUTED_VALUE"""),106.7)</f>
        <v>106.7</v>
      </c>
      <c r="G569" s="4">
        <f>IFERROR(__xludf.DUMMYFUNCTION("""COMPUTED_VALUE"""),45106.66666666667)</f>
        <v>45106.66667</v>
      </c>
      <c r="H569" s="1">
        <f>IFERROR(__xludf.DUMMYFUNCTION("""COMPUTED_VALUE"""),156.24)</f>
        <v>156.24</v>
      </c>
      <c r="I569" s="5">
        <f t="shared" si="1"/>
        <v>0.02310248431</v>
      </c>
      <c r="K569" s="5">
        <f t="shared" si="2"/>
        <v>0.01638561409</v>
      </c>
      <c r="L569" s="5">
        <f t="shared" si="3"/>
        <v>0.005154639175</v>
      </c>
      <c r="M569" s="5">
        <f t="shared" si="4"/>
        <v>0.007104454685</v>
      </c>
      <c r="Q569" s="5"/>
    </row>
    <row r="570">
      <c r="A570" s="4">
        <f>IFERROR(__xludf.DUMMYFUNCTION("""COMPUTED_VALUE"""),45107.66666666667)</f>
        <v>45107.66667</v>
      </c>
      <c r="B570" s="1">
        <f>IFERROR(__xludf.DUMMYFUNCTION("""COMPUTED_VALUE"""),193.97)</f>
        <v>193.97</v>
      </c>
      <c r="C570" s="4">
        <f>IFERROR(__xludf.DUMMYFUNCTION("""COMPUTED_VALUE"""),45107.66666666667)</f>
        <v>45107.66667</v>
      </c>
      <c r="D570" s="1">
        <f>IFERROR(__xludf.DUMMYFUNCTION("""COMPUTED_VALUE"""),340.54)</f>
        <v>340.54</v>
      </c>
      <c r="E570" s="4">
        <f>IFERROR(__xludf.DUMMYFUNCTION("""COMPUTED_VALUE"""),45107.66666666667)</f>
        <v>45107.66667</v>
      </c>
      <c r="F570" s="1">
        <f>IFERROR(__xludf.DUMMYFUNCTION("""COMPUTED_VALUE"""),107.25)</f>
        <v>107.25</v>
      </c>
      <c r="G570" s="4">
        <f>IFERROR(__xludf.DUMMYFUNCTION("""COMPUTED_VALUE"""),45107.66666666667)</f>
        <v>45107.66667</v>
      </c>
      <c r="H570" s="1">
        <f>IFERROR(__xludf.DUMMYFUNCTION("""COMPUTED_VALUE"""),157.35)</f>
        <v>157.35</v>
      </c>
      <c r="I570" s="5">
        <f t="shared" si="1"/>
        <v>-0.007784708976</v>
      </c>
      <c r="K570" s="5">
        <f t="shared" si="2"/>
        <v>-0.007488107124</v>
      </c>
      <c r="L570" s="5">
        <f t="shared" si="3"/>
        <v>0.001958041958</v>
      </c>
      <c r="M570" s="5">
        <f t="shared" si="4"/>
        <v>-0.0008897362568</v>
      </c>
      <c r="Q570" s="5"/>
    </row>
    <row r="571">
      <c r="A571" s="4">
        <f>IFERROR(__xludf.DUMMYFUNCTION("""COMPUTED_VALUE"""),45110.54513888889)</f>
        <v>45110.54514</v>
      </c>
      <c r="B571" s="1">
        <f>IFERROR(__xludf.DUMMYFUNCTION("""COMPUTED_VALUE"""),192.46)</f>
        <v>192.46</v>
      </c>
      <c r="C571" s="4">
        <f>IFERROR(__xludf.DUMMYFUNCTION("""COMPUTED_VALUE"""),45110.54513888889)</f>
        <v>45110.54514</v>
      </c>
      <c r="D571" s="1">
        <f>IFERROR(__xludf.DUMMYFUNCTION("""COMPUTED_VALUE"""),337.99)</f>
        <v>337.99</v>
      </c>
      <c r="E571" s="4">
        <f>IFERROR(__xludf.DUMMYFUNCTION("""COMPUTED_VALUE"""),45110.54166666667)</f>
        <v>45110.54167</v>
      </c>
      <c r="F571" s="1">
        <f>IFERROR(__xludf.DUMMYFUNCTION("""COMPUTED_VALUE"""),107.46)</f>
        <v>107.46</v>
      </c>
      <c r="G571" s="4">
        <f>IFERROR(__xludf.DUMMYFUNCTION("""COMPUTED_VALUE"""),45110.54166666667)</f>
        <v>45110.54167</v>
      </c>
      <c r="H571" s="1">
        <f>IFERROR(__xludf.DUMMYFUNCTION("""COMPUTED_VALUE"""),157.21)</f>
        <v>157.21</v>
      </c>
      <c r="I571" s="5">
        <f t="shared" si="1"/>
        <v>-0.005871349891</v>
      </c>
      <c r="K571" s="5">
        <f t="shared" si="2"/>
        <v>0.0004733867866</v>
      </c>
      <c r="L571" s="5">
        <f t="shared" si="3"/>
        <v>-0.00511818351</v>
      </c>
      <c r="M571" s="5">
        <f t="shared" si="4"/>
        <v>-0.005724826665</v>
      </c>
      <c r="Q571" s="5"/>
    </row>
    <row r="572">
      <c r="A572" s="4">
        <f>IFERROR(__xludf.DUMMYFUNCTION("""COMPUTED_VALUE"""),45112.66666666667)</f>
        <v>45112.66667</v>
      </c>
      <c r="B572" s="1">
        <f>IFERROR(__xludf.DUMMYFUNCTION("""COMPUTED_VALUE"""),191.33)</f>
        <v>191.33</v>
      </c>
      <c r="C572" s="4">
        <f>IFERROR(__xludf.DUMMYFUNCTION("""COMPUTED_VALUE"""),45112.66666666667)</f>
        <v>45112.66667</v>
      </c>
      <c r="D572" s="1">
        <f>IFERROR(__xludf.DUMMYFUNCTION("""COMPUTED_VALUE"""),338.15)</f>
        <v>338.15</v>
      </c>
      <c r="E572" s="4">
        <f>IFERROR(__xludf.DUMMYFUNCTION("""COMPUTED_VALUE"""),45112.66666666667)</f>
        <v>45112.66667</v>
      </c>
      <c r="F572" s="1">
        <f>IFERROR(__xludf.DUMMYFUNCTION("""COMPUTED_VALUE"""),106.91)</f>
        <v>106.91</v>
      </c>
      <c r="G572" s="4">
        <f>IFERROR(__xludf.DUMMYFUNCTION("""COMPUTED_VALUE"""),45112.66666666667)</f>
        <v>45112.66667</v>
      </c>
      <c r="H572" s="1">
        <f>IFERROR(__xludf.DUMMYFUNCTION("""COMPUTED_VALUE"""),156.31)</f>
        <v>156.31</v>
      </c>
      <c r="I572" s="5">
        <f t="shared" si="1"/>
        <v>0.002508754508</v>
      </c>
      <c r="K572" s="5">
        <f t="shared" si="2"/>
        <v>0.009226674553</v>
      </c>
      <c r="L572" s="5">
        <f t="shared" si="3"/>
        <v>-0.03732111122</v>
      </c>
      <c r="M572" s="5">
        <f t="shared" si="4"/>
        <v>-0.02194357367</v>
      </c>
      <c r="Q572" s="5"/>
    </row>
    <row r="573">
      <c r="A573" s="4">
        <f>IFERROR(__xludf.DUMMYFUNCTION("""COMPUTED_VALUE"""),45113.66666666667)</f>
        <v>45113.66667</v>
      </c>
      <c r="B573" s="1">
        <f>IFERROR(__xludf.DUMMYFUNCTION("""COMPUTED_VALUE"""),191.81)</f>
        <v>191.81</v>
      </c>
      <c r="C573" s="4">
        <f>IFERROR(__xludf.DUMMYFUNCTION("""COMPUTED_VALUE"""),45113.66666666667)</f>
        <v>45113.66667</v>
      </c>
      <c r="D573" s="1">
        <f>IFERROR(__xludf.DUMMYFUNCTION("""COMPUTED_VALUE"""),341.27)</f>
        <v>341.27</v>
      </c>
      <c r="E573" s="4">
        <f>IFERROR(__xludf.DUMMYFUNCTION("""COMPUTED_VALUE"""),45113.66666666667)</f>
        <v>45113.66667</v>
      </c>
      <c r="F573" s="1">
        <f>IFERROR(__xludf.DUMMYFUNCTION("""COMPUTED_VALUE"""),102.92)</f>
        <v>102.92</v>
      </c>
      <c r="G573" s="4">
        <f>IFERROR(__xludf.DUMMYFUNCTION("""COMPUTED_VALUE"""),45113.66666666667)</f>
        <v>45113.66667</v>
      </c>
      <c r="H573" s="1">
        <f>IFERROR(__xludf.DUMMYFUNCTION("""COMPUTED_VALUE"""),152.88)</f>
        <v>152.88</v>
      </c>
      <c r="I573" s="5">
        <f t="shared" si="1"/>
        <v>-0.005891246546</v>
      </c>
      <c r="K573" s="5">
        <f t="shared" si="2"/>
        <v>-0.01186743634</v>
      </c>
      <c r="L573" s="5">
        <f t="shared" si="3"/>
        <v>0.002331908278</v>
      </c>
      <c r="M573" s="5">
        <f t="shared" si="4"/>
        <v>0.008765044479</v>
      </c>
      <c r="Q573" s="5"/>
    </row>
    <row r="574">
      <c r="A574" s="4">
        <f>IFERROR(__xludf.DUMMYFUNCTION("""COMPUTED_VALUE"""),45114.66666666667)</f>
        <v>45114.66667</v>
      </c>
      <c r="B574" s="1">
        <f>IFERROR(__xludf.DUMMYFUNCTION("""COMPUTED_VALUE"""),190.68)</f>
        <v>190.68</v>
      </c>
      <c r="C574" s="4">
        <f>IFERROR(__xludf.DUMMYFUNCTION("""COMPUTED_VALUE"""),45114.66666666667)</f>
        <v>45114.66667</v>
      </c>
      <c r="D574" s="1">
        <f>IFERROR(__xludf.DUMMYFUNCTION("""COMPUTED_VALUE"""),337.22)</f>
        <v>337.22</v>
      </c>
      <c r="E574" s="4">
        <f>IFERROR(__xludf.DUMMYFUNCTION("""COMPUTED_VALUE"""),45114.66666666667)</f>
        <v>45114.66667</v>
      </c>
      <c r="F574" s="1">
        <f>IFERROR(__xludf.DUMMYFUNCTION("""COMPUTED_VALUE"""),103.16)</f>
        <v>103.16</v>
      </c>
      <c r="G574" s="4">
        <f>IFERROR(__xludf.DUMMYFUNCTION("""COMPUTED_VALUE"""),45114.66666666667)</f>
        <v>45114.66667</v>
      </c>
      <c r="H574" s="1">
        <f>IFERROR(__xludf.DUMMYFUNCTION("""COMPUTED_VALUE"""),154.22)</f>
        <v>154.22</v>
      </c>
      <c r="I574" s="5">
        <f t="shared" si="1"/>
        <v>-0.0108558842</v>
      </c>
      <c r="K574" s="5">
        <f t="shared" si="2"/>
        <v>-0.01598363086</v>
      </c>
      <c r="L574" s="5">
        <f t="shared" si="3"/>
        <v>0.01483132997</v>
      </c>
      <c r="M574" s="5">
        <f t="shared" si="4"/>
        <v>0.006678770587</v>
      </c>
      <c r="Q574" s="5"/>
    </row>
    <row r="575">
      <c r="A575" s="4">
        <f>IFERROR(__xludf.DUMMYFUNCTION("""COMPUTED_VALUE"""),45117.66666666667)</f>
        <v>45117.66667</v>
      </c>
      <c r="B575" s="1">
        <f>IFERROR(__xludf.DUMMYFUNCTION("""COMPUTED_VALUE"""),188.61)</f>
        <v>188.61</v>
      </c>
      <c r="C575" s="4">
        <f>IFERROR(__xludf.DUMMYFUNCTION("""COMPUTED_VALUE"""),45117.66666666667)</f>
        <v>45117.66667</v>
      </c>
      <c r="D575" s="1">
        <f>IFERROR(__xludf.DUMMYFUNCTION("""COMPUTED_VALUE"""),331.83)</f>
        <v>331.83</v>
      </c>
      <c r="E575" s="4">
        <f>IFERROR(__xludf.DUMMYFUNCTION("""COMPUTED_VALUE"""),45117.66666666667)</f>
        <v>45117.66667</v>
      </c>
      <c r="F575" s="1">
        <f>IFERROR(__xludf.DUMMYFUNCTION("""COMPUTED_VALUE"""),104.69)</f>
        <v>104.69</v>
      </c>
      <c r="G575" s="4">
        <f>IFERROR(__xludf.DUMMYFUNCTION("""COMPUTED_VALUE"""),45117.66666666667)</f>
        <v>45117.66667</v>
      </c>
      <c r="H575" s="1">
        <f>IFERROR(__xludf.DUMMYFUNCTION("""COMPUTED_VALUE"""),155.25)</f>
        <v>155.25</v>
      </c>
      <c r="I575" s="5">
        <f t="shared" si="1"/>
        <v>-0.002810031281</v>
      </c>
      <c r="K575" s="5">
        <f t="shared" si="2"/>
        <v>0.00192869843</v>
      </c>
      <c r="L575" s="5">
        <f t="shared" si="3"/>
        <v>0.01222657369</v>
      </c>
      <c r="M575" s="5">
        <f t="shared" si="4"/>
        <v>0.0184863124</v>
      </c>
      <c r="Q575" s="5"/>
    </row>
    <row r="576">
      <c r="A576" s="4">
        <f>IFERROR(__xludf.DUMMYFUNCTION("""COMPUTED_VALUE"""),45118.66666666667)</f>
        <v>45118.66667</v>
      </c>
      <c r="B576" s="1">
        <f>IFERROR(__xludf.DUMMYFUNCTION("""COMPUTED_VALUE"""),188.08)</f>
        <v>188.08</v>
      </c>
      <c r="C576" s="4">
        <f>IFERROR(__xludf.DUMMYFUNCTION("""COMPUTED_VALUE"""),45118.66666666667)</f>
        <v>45118.66667</v>
      </c>
      <c r="D576" s="1">
        <f>IFERROR(__xludf.DUMMYFUNCTION("""COMPUTED_VALUE"""),332.47)</f>
        <v>332.47</v>
      </c>
      <c r="E576" s="4">
        <f>IFERROR(__xludf.DUMMYFUNCTION("""COMPUTED_VALUE"""),45118.66666666667)</f>
        <v>45118.66667</v>
      </c>
      <c r="F576" s="1">
        <f>IFERROR(__xludf.DUMMYFUNCTION("""COMPUTED_VALUE"""),105.97)</f>
        <v>105.97</v>
      </c>
      <c r="G576" s="4">
        <f>IFERROR(__xludf.DUMMYFUNCTION("""COMPUTED_VALUE"""),45118.66666666667)</f>
        <v>45118.66667</v>
      </c>
      <c r="H576" s="1">
        <f>IFERROR(__xludf.DUMMYFUNCTION("""COMPUTED_VALUE"""),158.12)</f>
        <v>158.12</v>
      </c>
      <c r="I576" s="5">
        <f t="shared" si="1"/>
        <v>0.008985538069</v>
      </c>
      <c r="K576" s="5">
        <f t="shared" si="2"/>
        <v>0.01422684754</v>
      </c>
      <c r="L576" s="5">
        <f t="shared" si="3"/>
        <v>0.004907049165</v>
      </c>
      <c r="M576" s="5">
        <f t="shared" si="4"/>
        <v>0.009612952188</v>
      </c>
      <c r="Q576" s="5"/>
    </row>
    <row r="577">
      <c r="A577" s="4">
        <f>IFERROR(__xludf.DUMMYFUNCTION("""COMPUTED_VALUE"""),45119.66666666667)</f>
        <v>45119.66667</v>
      </c>
      <c r="B577" s="1">
        <f>IFERROR(__xludf.DUMMYFUNCTION("""COMPUTED_VALUE"""),189.77)</f>
        <v>189.77</v>
      </c>
      <c r="C577" s="4">
        <f>IFERROR(__xludf.DUMMYFUNCTION("""COMPUTED_VALUE"""),45119.66666666667)</f>
        <v>45119.66667</v>
      </c>
      <c r="D577" s="1">
        <f>IFERROR(__xludf.DUMMYFUNCTION("""COMPUTED_VALUE"""),337.2)</f>
        <v>337.2</v>
      </c>
      <c r="E577" s="4">
        <f>IFERROR(__xludf.DUMMYFUNCTION("""COMPUTED_VALUE"""),45119.66666666667)</f>
        <v>45119.66667</v>
      </c>
      <c r="F577" s="1">
        <f>IFERROR(__xludf.DUMMYFUNCTION("""COMPUTED_VALUE"""),106.49)</f>
        <v>106.49</v>
      </c>
      <c r="G577" s="4">
        <f>IFERROR(__xludf.DUMMYFUNCTION("""COMPUTED_VALUE"""),45119.66666666667)</f>
        <v>45119.66667</v>
      </c>
      <c r="H577" s="1">
        <f>IFERROR(__xludf.DUMMYFUNCTION("""COMPUTED_VALUE"""),159.64)</f>
        <v>159.64</v>
      </c>
      <c r="I577" s="5">
        <f t="shared" si="1"/>
        <v>0.004057543342</v>
      </c>
      <c r="K577" s="5">
        <f t="shared" si="2"/>
        <v>0.01619217082</v>
      </c>
      <c r="L577" s="5">
        <f t="shared" si="3"/>
        <v>-0.01831157855</v>
      </c>
      <c r="M577" s="5">
        <f t="shared" si="4"/>
        <v>-0.01334252067</v>
      </c>
      <c r="Q577" s="5"/>
    </row>
    <row r="578">
      <c r="A578" s="4">
        <f>IFERROR(__xludf.DUMMYFUNCTION("""COMPUTED_VALUE"""),45120.66666666667)</f>
        <v>45120.66667</v>
      </c>
      <c r="B578" s="1">
        <f>IFERROR(__xludf.DUMMYFUNCTION("""COMPUTED_VALUE"""),190.54)</f>
        <v>190.54</v>
      </c>
      <c r="C578" s="4">
        <f>IFERROR(__xludf.DUMMYFUNCTION("""COMPUTED_VALUE"""),45120.66666666667)</f>
        <v>45120.66667</v>
      </c>
      <c r="D578" s="1">
        <f>IFERROR(__xludf.DUMMYFUNCTION("""COMPUTED_VALUE"""),342.66)</f>
        <v>342.66</v>
      </c>
      <c r="E578" s="4">
        <f>IFERROR(__xludf.DUMMYFUNCTION("""COMPUTED_VALUE"""),45120.66666666667)</f>
        <v>45120.66667</v>
      </c>
      <c r="F578" s="1">
        <f>IFERROR(__xludf.DUMMYFUNCTION("""COMPUTED_VALUE"""),104.54)</f>
        <v>104.54</v>
      </c>
      <c r="G578" s="4">
        <f>IFERROR(__xludf.DUMMYFUNCTION("""COMPUTED_VALUE"""),45120.66666666667)</f>
        <v>45120.66667</v>
      </c>
      <c r="H578" s="1">
        <f>IFERROR(__xludf.DUMMYFUNCTION("""COMPUTED_VALUE"""),157.51)</f>
        <v>157.51</v>
      </c>
      <c r="I578" s="5">
        <f t="shared" si="1"/>
        <v>0.0007872362758</v>
      </c>
      <c r="K578" s="5">
        <f t="shared" si="2"/>
        <v>0.007529329364</v>
      </c>
      <c r="L578" s="5">
        <f t="shared" si="3"/>
        <v>-0.0344365793</v>
      </c>
      <c r="M578" s="5">
        <f t="shared" si="4"/>
        <v>-0.02495079677</v>
      </c>
      <c r="Q578" s="5"/>
    </row>
    <row r="579">
      <c r="A579" s="4">
        <f>IFERROR(__xludf.DUMMYFUNCTION("""COMPUTED_VALUE"""),45121.66666666667)</f>
        <v>45121.66667</v>
      </c>
      <c r="B579" s="1">
        <f>IFERROR(__xludf.DUMMYFUNCTION("""COMPUTED_VALUE"""),190.69)</f>
        <v>190.69</v>
      </c>
      <c r="C579" s="4">
        <f>IFERROR(__xludf.DUMMYFUNCTION("""COMPUTED_VALUE"""),45121.66666666667)</f>
        <v>45121.66667</v>
      </c>
      <c r="D579" s="1">
        <f>IFERROR(__xludf.DUMMYFUNCTION("""COMPUTED_VALUE"""),345.24)</f>
        <v>345.24</v>
      </c>
      <c r="E579" s="4">
        <f>IFERROR(__xludf.DUMMYFUNCTION("""COMPUTED_VALUE"""),45121.66666666667)</f>
        <v>45121.66667</v>
      </c>
      <c r="F579" s="1">
        <f>IFERROR(__xludf.DUMMYFUNCTION("""COMPUTED_VALUE"""),100.94)</f>
        <v>100.94</v>
      </c>
      <c r="G579" s="4">
        <f>IFERROR(__xludf.DUMMYFUNCTION("""COMPUTED_VALUE"""),45121.66666666667)</f>
        <v>45121.66667</v>
      </c>
      <c r="H579" s="1">
        <f>IFERROR(__xludf.DUMMYFUNCTION("""COMPUTED_VALUE"""),153.58)</f>
        <v>153.58</v>
      </c>
      <c r="I579" s="5">
        <f t="shared" si="1"/>
        <v>0.01730557449</v>
      </c>
      <c r="K579" s="5">
        <f t="shared" si="2"/>
        <v>0.001419302514</v>
      </c>
      <c r="L579" s="5">
        <f t="shared" si="3"/>
        <v>0.004359025163</v>
      </c>
      <c r="M579" s="5">
        <f t="shared" si="4"/>
        <v>-0.0009115770283</v>
      </c>
      <c r="Q579" s="5"/>
    </row>
    <row r="580">
      <c r="A580" s="4">
        <f>IFERROR(__xludf.DUMMYFUNCTION("""COMPUTED_VALUE"""),45124.66666666667)</f>
        <v>45124.66667</v>
      </c>
      <c r="B580" s="1">
        <f>IFERROR(__xludf.DUMMYFUNCTION("""COMPUTED_VALUE"""),193.99)</f>
        <v>193.99</v>
      </c>
      <c r="C580" s="4">
        <f>IFERROR(__xludf.DUMMYFUNCTION("""COMPUTED_VALUE"""),45124.66666666667)</f>
        <v>45124.66667</v>
      </c>
      <c r="D580" s="1">
        <f>IFERROR(__xludf.DUMMYFUNCTION("""COMPUTED_VALUE"""),345.73)</f>
        <v>345.73</v>
      </c>
      <c r="E580" s="4">
        <f>IFERROR(__xludf.DUMMYFUNCTION("""COMPUTED_VALUE"""),45124.66666666667)</f>
        <v>45124.66667</v>
      </c>
      <c r="F580" s="1">
        <f>IFERROR(__xludf.DUMMYFUNCTION("""COMPUTED_VALUE"""),101.38)</f>
        <v>101.38</v>
      </c>
      <c r="G580" s="4">
        <f>IFERROR(__xludf.DUMMYFUNCTION("""COMPUTED_VALUE"""),45124.66666666667)</f>
        <v>45124.66667</v>
      </c>
      <c r="H580" s="1">
        <f>IFERROR(__xludf.DUMMYFUNCTION("""COMPUTED_VALUE"""),153.44)</f>
        <v>153.44</v>
      </c>
      <c r="I580" s="5">
        <f t="shared" si="1"/>
        <v>-0.001340275272</v>
      </c>
      <c r="K580" s="5">
        <f t="shared" si="2"/>
        <v>0.03979984381</v>
      </c>
      <c r="L580" s="5">
        <f t="shared" si="3"/>
        <v>-0.004537384099</v>
      </c>
      <c r="M580" s="5">
        <f t="shared" si="4"/>
        <v>0.002020333681</v>
      </c>
      <c r="Q580" s="5"/>
    </row>
    <row r="581">
      <c r="A581" s="4">
        <f>IFERROR(__xludf.DUMMYFUNCTION("""COMPUTED_VALUE"""),45125.66666666667)</f>
        <v>45125.66667</v>
      </c>
      <c r="B581" s="1">
        <f>IFERROR(__xludf.DUMMYFUNCTION("""COMPUTED_VALUE"""),193.73)</f>
        <v>193.73</v>
      </c>
      <c r="C581" s="4">
        <f>IFERROR(__xludf.DUMMYFUNCTION("""COMPUTED_VALUE"""),45125.66666666667)</f>
        <v>45125.66667</v>
      </c>
      <c r="D581" s="1">
        <f>IFERROR(__xludf.DUMMYFUNCTION("""COMPUTED_VALUE"""),359.49)</f>
        <v>359.49</v>
      </c>
      <c r="E581" s="4">
        <f>IFERROR(__xludf.DUMMYFUNCTION("""COMPUTED_VALUE"""),45125.66666666667)</f>
        <v>45125.66667</v>
      </c>
      <c r="F581" s="1">
        <f>IFERROR(__xludf.DUMMYFUNCTION("""COMPUTED_VALUE"""),100.92)</f>
        <v>100.92</v>
      </c>
      <c r="G581" s="4">
        <f>IFERROR(__xludf.DUMMYFUNCTION("""COMPUTED_VALUE"""),45125.66666666667)</f>
        <v>45125.66667</v>
      </c>
      <c r="H581" s="1">
        <f>IFERROR(__xludf.DUMMYFUNCTION("""COMPUTED_VALUE"""),153.75)</f>
        <v>153.75</v>
      </c>
      <c r="I581" s="5">
        <f t="shared" si="1"/>
        <v>0.007071697724</v>
      </c>
      <c r="K581" s="5">
        <f t="shared" si="2"/>
        <v>-0.01226737879</v>
      </c>
      <c r="L581" s="5">
        <f t="shared" si="3"/>
        <v>0.006936187079</v>
      </c>
      <c r="M581" s="5">
        <f t="shared" si="4"/>
        <v>0.006113821138</v>
      </c>
      <c r="Q581" s="5"/>
    </row>
    <row r="582">
      <c r="A582" s="4">
        <f>IFERROR(__xludf.DUMMYFUNCTION("""COMPUTED_VALUE"""),45126.66666666667)</f>
        <v>45126.66667</v>
      </c>
      <c r="B582" s="1">
        <f>IFERROR(__xludf.DUMMYFUNCTION("""COMPUTED_VALUE"""),195.1)</f>
        <v>195.1</v>
      </c>
      <c r="C582" s="4">
        <f>IFERROR(__xludf.DUMMYFUNCTION("""COMPUTED_VALUE"""),45126.66666666667)</f>
        <v>45126.66667</v>
      </c>
      <c r="D582" s="1">
        <f>IFERROR(__xludf.DUMMYFUNCTION("""COMPUTED_VALUE"""),355.08)</f>
        <v>355.08</v>
      </c>
      <c r="E582" s="4">
        <f>IFERROR(__xludf.DUMMYFUNCTION("""COMPUTED_VALUE"""),45126.66666666667)</f>
        <v>45126.66667</v>
      </c>
      <c r="F582" s="1">
        <f>IFERROR(__xludf.DUMMYFUNCTION("""COMPUTED_VALUE"""),101.62)</f>
        <v>101.62</v>
      </c>
      <c r="G582" s="4">
        <f>IFERROR(__xludf.DUMMYFUNCTION("""COMPUTED_VALUE"""),45126.66666666667)</f>
        <v>45126.66667</v>
      </c>
      <c r="H582" s="1">
        <f>IFERROR(__xludf.DUMMYFUNCTION("""COMPUTED_VALUE"""),154.69)</f>
        <v>154.69</v>
      </c>
      <c r="I582" s="5">
        <f t="shared" si="1"/>
        <v>-0.01009738596</v>
      </c>
      <c r="K582" s="5">
        <f t="shared" si="2"/>
        <v>-0.02312155007</v>
      </c>
      <c r="L582" s="5">
        <f t="shared" si="3"/>
        <v>0.01761464279</v>
      </c>
      <c r="M582" s="5">
        <f t="shared" si="4"/>
        <v>0.0110543668</v>
      </c>
      <c r="Q582" s="5"/>
    </row>
    <row r="583">
      <c r="A583" s="4">
        <f>IFERROR(__xludf.DUMMYFUNCTION("""COMPUTED_VALUE"""),45127.66666666667)</f>
        <v>45127.66667</v>
      </c>
      <c r="B583" s="1">
        <f>IFERROR(__xludf.DUMMYFUNCTION("""COMPUTED_VALUE"""),193.13)</f>
        <v>193.13</v>
      </c>
      <c r="C583" s="4">
        <f>IFERROR(__xludf.DUMMYFUNCTION("""COMPUTED_VALUE"""),45127.66666666667)</f>
        <v>45127.66667</v>
      </c>
      <c r="D583" s="1">
        <f>IFERROR(__xludf.DUMMYFUNCTION("""COMPUTED_VALUE"""),346.87)</f>
        <v>346.87</v>
      </c>
      <c r="E583" s="4">
        <f>IFERROR(__xludf.DUMMYFUNCTION("""COMPUTED_VALUE"""),45127.66666666667)</f>
        <v>45127.66667</v>
      </c>
      <c r="F583" s="1">
        <f>IFERROR(__xludf.DUMMYFUNCTION("""COMPUTED_VALUE"""),103.41)</f>
        <v>103.41</v>
      </c>
      <c r="G583" s="4">
        <f>IFERROR(__xludf.DUMMYFUNCTION("""COMPUTED_VALUE"""),45127.66666666667)</f>
        <v>45127.66667</v>
      </c>
      <c r="H583" s="1">
        <f>IFERROR(__xludf.DUMMYFUNCTION("""COMPUTED_VALUE"""),156.4)</f>
        <v>156.4</v>
      </c>
      <c r="I583" s="5">
        <f t="shared" si="1"/>
        <v>-0.006161652773</v>
      </c>
      <c r="K583" s="5">
        <f t="shared" si="2"/>
        <v>-0.00893706576</v>
      </c>
      <c r="L583" s="5">
        <f t="shared" si="3"/>
        <v>0.004641717435</v>
      </c>
      <c r="M583" s="5">
        <f t="shared" si="4"/>
        <v>0.01464194373</v>
      </c>
      <c r="Q583" s="5"/>
    </row>
    <row r="584">
      <c r="A584" s="4">
        <f>IFERROR(__xludf.DUMMYFUNCTION("""COMPUTED_VALUE"""),45128.66666666667)</f>
        <v>45128.66667</v>
      </c>
      <c r="B584" s="1">
        <f>IFERROR(__xludf.DUMMYFUNCTION("""COMPUTED_VALUE"""),191.94)</f>
        <v>191.94</v>
      </c>
      <c r="C584" s="4">
        <f>IFERROR(__xludf.DUMMYFUNCTION("""COMPUTED_VALUE"""),45128.66666666667)</f>
        <v>45128.66667</v>
      </c>
      <c r="D584" s="1">
        <f>IFERROR(__xludf.DUMMYFUNCTION("""COMPUTED_VALUE"""),343.77)</f>
        <v>343.77</v>
      </c>
      <c r="E584" s="4">
        <f>IFERROR(__xludf.DUMMYFUNCTION("""COMPUTED_VALUE"""),45128.66666666667)</f>
        <v>45128.66667</v>
      </c>
      <c r="F584" s="1">
        <f>IFERROR(__xludf.DUMMYFUNCTION("""COMPUTED_VALUE"""),103.89)</f>
        <v>103.89</v>
      </c>
      <c r="G584" s="4">
        <f>IFERROR(__xludf.DUMMYFUNCTION("""COMPUTED_VALUE"""),45128.66666666667)</f>
        <v>45128.66667</v>
      </c>
      <c r="H584" s="1">
        <f>IFERROR(__xludf.DUMMYFUNCTION("""COMPUTED_VALUE"""),158.69)</f>
        <v>158.69</v>
      </c>
      <c r="I584" s="5">
        <f t="shared" si="1"/>
        <v>0.004220068771</v>
      </c>
      <c r="K584" s="5">
        <f t="shared" si="2"/>
        <v>0.003897955028</v>
      </c>
      <c r="L584" s="5">
        <f t="shared" si="3"/>
        <v>0.01568967177</v>
      </c>
      <c r="M584" s="5">
        <f t="shared" si="4"/>
        <v>0.01972399017</v>
      </c>
      <c r="Q584" s="5"/>
    </row>
    <row r="585">
      <c r="A585" s="4">
        <f>IFERROR(__xludf.DUMMYFUNCTION("""COMPUTED_VALUE"""),45131.66666666667)</f>
        <v>45131.66667</v>
      </c>
      <c r="B585" s="1">
        <f>IFERROR(__xludf.DUMMYFUNCTION("""COMPUTED_VALUE"""),192.75)</f>
        <v>192.75</v>
      </c>
      <c r="C585" s="4">
        <f>IFERROR(__xludf.DUMMYFUNCTION("""COMPUTED_VALUE"""),45131.66666666667)</f>
        <v>45131.66667</v>
      </c>
      <c r="D585" s="1">
        <f>IFERROR(__xludf.DUMMYFUNCTION("""COMPUTED_VALUE"""),345.11)</f>
        <v>345.11</v>
      </c>
      <c r="E585" s="4">
        <f>IFERROR(__xludf.DUMMYFUNCTION("""COMPUTED_VALUE"""),45131.66666666667)</f>
        <v>45131.66667</v>
      </c>
      <c r="F585" s="1">
        <f>IFERROR(__xludf.DUMMYFUNCTION("""COMPUTED_VALUE"""),105.52)</f>
        <v>105.52</v>
      </c>
      <c r="G585" s="4">
        <f>IFERROR(__xludf.DUMMYFUNCTION("""COMPUTED_VALUE"""),45131.66666666667)</f>
        <v>45131.66667</v>
      </c>
      <c r="H585" s="1">
        <f>IFERROR(__xludf.DUMMYFUNCTION("""COMPUTED_VALUE"""),161.82)</f>
        <v>161.82</v>
      </c>
      <c r="I585" s="5">
        <f t="shared" si="1"/>
        <v>0.004513618677</v>
      </c>
      <c r="K585" s="5">
        <f t="shared" si="2"/>
        <v>0.01700906957</v>
      </c>
      <c r="L585" s="5">
        <f t="shared" si="3"/>
        <v>0.001516300227</v>
      </c>
      <c r="M585" s="5">
        <f t="shared" si="4"/>
        <v>0.004572982326</v>
      </c>
      <c r="Q585" s="5"/>
    </row>
    <row r="586">
      <c r="A586" s="4">
        <f>IFERROR(__xludf.DUMMYFUNCTION("""COMPUTED_VALUE"""),45132.66666666667)</f>
        <v>45132.66667</v>
      </c>
      <c r="B586" s="1">
        <f>IFERROR(__xludf.DUMMYFUNCTION("""COMPUTED_VALUE"""),193.62)</f>
        <v>193.62</v>
      </c>
      <c r="C586" s="4">
        <f>IFERROR(__xludf.DUMMYFUNCTION("""COMPUTED_VALUE"""),45132.66666666667)</f>
        <v>45132.66667</v>
      </c>
      <c r="D586" s="1">
        <f>IFERROR(__xludf.DUMMYFUNCTION("""COMPUTED_VALUE"""),350.98)</f>
        <v>350.98</v>
      </c>
      <c r="E586" s="4">
        <f>IFERROR(__xludf.DUMMYFUNCTION("""COMPUTED_VALUE"""),45132.66666666667)</f>
        <v>45132.66667</v>
      </c>
      <c r="F586" s="1">
        <f>IFERROR(__xludf.DUMMYFUNCTION("""COMPUTED_VALUE"""),105.68)</f>
        <v>105.68</v>
      </c>
      <c r="G586" s="4">
        <f>IFERROR(__xludf.DUMMYFUNCTION("""COMPUTED_VALUE"""),45132.66666666667)</f>
        <v>45132.66667</v>
      </c>
      <c r="H586" s="1">
        <f>IFERROR(__xludf.DUMMYFUNCTION("""COMPUTED_VALUE"""),162.56)</f>
        <v>162.56</v>
      </c>
      <c r="I586" s="5">
        <f t="shared" si="1"/>
        <v>0.004544985022</v>
      </c>
      <c r="K586" s="5">
        <f t="shared" si="2"/>
        <v>-0.03763747222</v>
      </c>
      <c r="L586" s="5">
        <f t="shared" si="3"/>
        <v>-0.005582891749</v>
      </c>
      <c r="M586" s="5">
        <f t="shared" si="4"/>
        <v>-0.00750492126</v>
      </c>
      <c r="Q586" s="5"/>
    </row>
    <row r="587">
      <c r="A587" s="4">
        <f>IFERROR(__xludf.DUMMYFUNCTION("""COMPUTED_VALUE"""),45133.66666666667)</f>
        <v>45133.66667</v>
      </c>
      <c r="B587" s="1">
        <f>IFERROR(__xludf.DUMMYFUNCTION("""COMPUTED_VALUE"""),194.5)</f>
        <v>194.5</v>
      </c>
      <c r="C587" s="4">
        <f>IFERROR(__xludf.DUMMYFUNCTION("""COMPUTED_VALUE"""),45133.66666666667)</f>
        <v>45133.66667</v>
      </c>
      <c r="D587" s="1">
        <f>IFERROR(__xludf.DUMMYFUNCTION("""COMPUTED_VALUE"""),337.77)</f>
        <v>337.77</v>
      </c>
      <c r="E587" s="4">
        <f>IFERROR(__xludf.DUMMYFUNCTION("""COMPUTED_VALUE"""),45133.66666666667)</f>
        <v>45133.66667</v>
      </c>
      <c r="F587" s="1">
        <f>IFERROR(__xludf.DUMMYFUNCTION("""COMPUTED_VALUE"""),105.09)</f>
        <v>105.09</v>
      </c>
      <c r="G587" s="4">
        <f>IFERROR(__xludf.DUMMYFUNCTION("""COMPUTED_VALUE"""),45133.66666666667)</f>
        <v>45133.66667</v>
      </c>
      <c r="H587" s="1">
        <f>IFERROR(__xludf.DUMMYFUNCTION("""COMPUTED_VALUE"""),161.34)</f>
        <v>161.34</v>
      </c>
      <c r="I587" s="5">
        <f t="shared" si="1"/>
        <v>-0.006580976864</v>
      </c>
      <c r="K587" s="5">
        <f t="shared" si="2"/>
        <v>-0.02087219114</v>
      </c>
      <c r="L587" s="5">
        <f t="shared" si="3"/>
        <v>0.003140165572</v>
      </c>
      <c r="M587" s="5">
        <f t="shared" si="4"/>
        <v>-0.01041279286</v>
      </c>
      <c r="Q587" s="5"/>
    </row>
    <row r="588">
      <c r="A588" s="4">
        <f>IFERROR(__xludf.DUMMYFUNCTION("""COMPUTED_VALUE"""),45134.66666666667)</f>
        <v>45134.66667</v>
      </c>
      <c r="B588" s="1">
        <f>IFERROR(__xludf.DUMMYFUNCTION("""COMPUTED_VALUE"""),193.22)</f>
        <v>193.22</v>
      </c>
      <c r="C588" s="4">
        <f>IFERROR(__xludf.DUMMYFUNCTION("""COMPUTED_VALUE"""),45134.66666666667)</f>
        <v>45134.66667</v>
      </c>
      <c r="D588" s="1">
        <f>IFERROR(__xludf.DUMMYFUNCTION("""COMPUTED_VALUE"""),330.72)</f>
        <v>330.72</v>
      </c>
      <c r="E588" s="4">
        <f>IFERROR(__xludf.DUMMYFUNCTION("""COMPUTED_VALUE"""),45134.66666666667)</f>
        <v>45134.66667</v>
      </c>
      <c r="F588" s="1">
        <f>IFERROR(__xludf.DUMMYFUNCTION("""COMPUTED_VALUE"""),105.42)</f>
        <v>105.42</v>
      </c>
      <c r="G588" s="4">
        <f>IFERROR(__xludf.DUMMYFUNCTION("""COMPUTED_VALUE"""),45134.66666666667)</f>
        <v>45134.66667</v>
      </c>
      <c r="H588" s="1">
        <f>IFERROR(__xludf.DUMMYFUNCTION("""COMPUTED_VALUE"""),159.66)</f>
        <v>159.66</v>
      </c>
      <c r="I588" s="5">
        <f t="shared" si="1"/>
        <v>0.01350791843</v>
      </c>
      <c r="K588" s="5">
        <f t="shared" si="2"/>
        <v>0.02313134978</v>
      </c>
      <c r="L588" s="5">
        <f t="shared" si="3"/>
        <v>-0.01195219124</v>
      </c>
      <c r="M588" s="5">
        <f t="shared" si="4"/>
        <v>-0.004948014531</v>
      </c>
      <c r="Q588" s="5"/>
    </row>
    <row r="589">
      <c r="A589" s="4">
        <f>IFERROR(__xludf.DUMMYFUNCTION("""COMPUTED_VALUE"""),45135.66666666667)</f>
        <v>45135.66667</v>
      </c>
      <c r="B589" s="1">
        <f>IFERROR(__xludf.DUMMYFUNCTION("""COMPUTED_VALUE"""),195.83)</f>
        <v>195.83</v>
      </c>
      <c r="C589" s="4">
        <f>IFERROR(__xludf.DUMMYFUNCTION("""COMPUTED_VALUE"""),45135.66666666667)</f>
        <v>45135.66667</v>
      </c>
      <c r="D589" s="1">
        <f>IFERROR(__xludf.DUMMYFUNCTION("""COMPUTED_VALUE"""),338.37)</f>
        <v>338.37</v>
      </c>
      <c r="E589" s="4">
        <f>IFERROR(__xludf.DUMMYFUNCTION("""COMPUTED_VALUE"""),45135.66666666667)</f>
        <v>45135.66667</v>
      </c>
      <c r="F589" s="1">
        <f>IFERROR(__xludf.DUMMYFUNCTION("""COMPUTED_VALUE"""),104.16)</f>
        <v>104.16</v>
      </c>
      <c r="G589" s="4">
        <f>IFERROR(__xludf.DUMMYFUNCTION("""COMPUTED_VALUE"""),45135.66666666667)</f>
        <v>45135.66667</v>
      </c>
      <c r="H589" s="1">
        <f>IFERROR(__xludf.DUMMYFUNCTION("""COMPUTED_VALUE"""),158.87)</f>
        <v>158.87</v>
      </c>
      <c r="I589" s="5">
        <f t="shared" si="1"/>
        <v>0.003166011336</v>
      </c>
      <c r="K589" s="5">
        <f t="shared" si="2"/>
        <v>-0.007240594615</v>
      </c>
      <c r="L589" s="5">
        <f t="shared" si="3"/>
        <v>0.02956989247</v>
      </c>
      <c r="M589" s="5">
        <f t="shared" si="4"/>
        <v>0.03015043746</v>
      </c>
      <c r="Q589" s="5"/>
    </row>
    <row r="590">
      <c r="A590" s="4">
        <f>IFERROR(__xludf.DUMMYFUNCTION("""COMPUTED_VALUE"""),45138.66666666667)</f>
        <v>45138.66667</v>
      </c>
      <c r="B590" s="1">
        <f>IFERROR(__xludf.DUMMYFUNCTION("""COMPUTED_VALUE"""),196.45)</f>
        <v>196.45</v>
      </c>
      <c r="C590" s="4">
        <f>IFERROR(__xludf.DUMMYFUNCTION("""COMPUTED_VALUE"""),45138.66666666667)</f>
        <v>45138.66667</v>
      </c>
      <c r="D590" s="1">
        <f>IFERROR(__xludf.DUMMYFUNCTION("""COMPUTED_VALUE"""),335.92)</f>
        <v>335.92</v>
      </c>
      <c r="E590" s="4">
        <f>IFERROR(__xludf.DUMMYFUNCTION("""COMPUTED_VALUE"""),45138.66666666667)</f>
        <v>45138.66667</v>
      </c>
      <c r="F590" s="1">
        <f>IFERROR(__xludf.DUMMYFUNCTION("""COMPUTED_VALUE"""),107.24)</f>
        <v>107.24</v>
      </c>
      <c r="G590" s="4">
        <f>IFERROR(__xludf.DUMMYFUNCTION("""COMPUTED_VALUE"""),45138.66666666667)</f>
        <v>45138.66667</v>
      </c>
      <c r="H590" s="1">
        <f>IFERROR(__xludf.DUMMYFUNCTION("""COMPUTED_VALUE"""),163.66)</f>
        <v>163.66</v>
      </c>
      <c r="I590" s="5">
        <f t="shared" si="1"/>
        <v>-0.004275897175</v>
      </c>
      <c r="K590" s="5">
        <f t="shared" si="2"/>
        <v>0.00125029769</v>
      </c>
      <c r="L590" s="5">
        <f t="shared" si="3"/>
        <v>-0.005781424841</v>
      </c>
      <c r="M590" s="5">
        <f t="shared" si="4"/>
        <v>-0.008309910791</v>
      </c>
      <c r="Q590" s="5"/>
    </row>
    <row r="591">
      <c r="A591" s="4">
        <f>IFERROR(__xludf.DUMMYFUNCTION("""COMPUTED_VALUE"""),45139.66666666667)</f>
        <v>45139.66667</v>
      </c>
      <c r="B591" s="1">
        <f>IFERROR(__xludf.DUMMYFUNCTION("""COMPUTED_VALUE"""),195.61)</f>
        <v>195.61</v>
      </c>
      <c r="C591" s="4">
        <f>IFERROR(__xludf.DUMMYFUNCTION("""COMPUTED_VALUE"""),45139.66666666667)</f>
        <v>45139.66667</v>
      </c>
      <c r="D591" s="1">
        <f>IFERROR(__xludf.DUMMYFUNCTION("""COMPUTED_VALUE"""),336.34)</f>
        <v>336.34</v>
      </c>
      <c r="E591" s="4">
        <f>IFERROR(__xludf.DUMMYFUNCTION("""COMPUTED_VALUE"""),45139.66666666667)</f>
        <v>45139.66667</v>
      </c>
      <c r="F591" s="1">
        <f>IFERROR(__xludf.DUMMYFUNCTION("""COMPUTED_VALUE"""),106.62)</f>
        <v>106.62</v>
      </c>
      <c r="G591" s="4">
        <f>IFERROR(__xludf.DUMMYFUNCTION("""COMPUTED_VALUE"""),45139.66666666667)</f>
        <v>45139.66667</v>
      </c>
      <c r="H591" s="1">
        <f>IFERROR(__xludf.DUMMYFUNCTION("""COMPUTED_VALUE"""),162.3)</f>
        <v>162.3</v>
      </c>
      <c r="I591" s="5">
        <f t="shared" si="1"/>
        <v>-0.01549000562</v>
      </c>
      <c r="K591" s="5">
        <f t="shared" si="2"/>
        <v>-0.02628292799</v>
      </c>
      <c r="L591" s="5">
        <f t="shared" si="3"/>
        <v>-0.01247420747</v>
      </c>
      <c r="M591" s="5">
        <f t="shared" si="4"/>
        <v>-0.01583487369</v>
      </c>
      <c r="Q591" s="5"/>
    </row>
    <row r="592">
      <c r="A592" s="4">
        <f>IFERROR(__xludf.DUMMYFUNCTION("""COMPUTED_VALUE"""),45140.66666666667)</f>
        <v>45140.66667</v>
      </c>
      <c r="B592" s="1">
        <f>IFERROR(__xludf.DUMMYFUNCTION("""COMPUTED_VALUE"""),192.58)</f>
        <v>192.58</v>
      </c>
      <c r="C592" s="4">
        <f>IFERROR(__xludf.DUMMYFUNCTION("""COMPUTED_VALUE"""),45140.66666666667)</f>
        <v>45140.66667</v>
      </c>
      <c r="D592" s="1">
        <f>IFERROR(__xludf.DUMMYFUNCTION("""COMPUTED_VALUE"""),327.5)</f>
        <v>327.5</v>
      </c>
      <c r="E592" s="4">
        <f>IFERROR(__xludf.DUMMYFUNCTION("""COMPUTED_VALUE"""),45140.66666666667)</f>
        <v>45140.66667</v>
      </c>
      <c r="F592" s="1">
        <f>IFERROR(__xludf.DUMMYFUNCTION("""COMPUTED_VALUE"""),105.29)</f>
        <v>105.29</v>
      </c>
      <c r="G592" s="4">
        <f>IFERROR(__xludf.DUMMYFUNCTION("""COMPUTED_VALUE"""),45140.66666666667)</f>
        <v>45140.66667</v>
      </c>
      <c r="H592" s="1">
        <f>IFERROR(__xludf.DUMMYFUNCTION("""COMPUTED_VALUE"""),159.73)</f>
        <v>159.73</v>
      </c>
      <c r="I592" s="5">
        <f t="shared" si="1"/>
        <v>-0.007321632568</v>
      </c>
      <c r="K592" s="5">
        <f t="shared" si="2"/>
        <v>-0.002564885496</v>
      </c>
      <c r="L592" s="5">
        <f t="shared" si="3"/>
        <v>0.01738056796</v>
      </c>
      <c r="M592" s="5">
        <f t="shared" si="4"/>
        <v>-0.0003756338822</v>
      </c>
      <c r="Q592" s="5"/>
    </row>
    <row r="593">
      <c r="A593" s="4">
        <f>IFERROR(__xludf.DUMMYFUNCTION("""COMPUTED_VALUE"""),45141.66666666667)</f>
        <v>45141.66667</v>
      </c>
      <c r="B593" s="1">
        <f>IFERROR(__xludf.DUMMYFUNCTION("""COMPUTED_VALUE"""),191.17)</f>
        <v>191.17</v>
      </c>
      <c r="C593" s="4">
        <f>IFERROR(__xludf.DUMMYFUNCTION("""COMPUTED_VALUE"""),45141.66666666667)</f>
        <v>45141.66667</v>
      </c>
      <c r="D593" s="1">
        <f>IFERROR(__xludf.DUMMYFUNCTION("""COMPUTED_VALUE"""),326.66)</f>
        <v>326.66</v>
      </c>
      <c r="E593" s="4">
        <f>IFERROR(__xludf.DUMMYFUNCTION("""COMPUTED_VALUE"""),45141.66666666667)</f>
        <v>45141.66667</v>
      </c>
      <c r="F593" s="1">
        <f>IFERROR(__xludf.DUMMYFUNCTION("""COMPUTED_VALUE"""),107.12)</f>
        <v>107.12</v>
      </c>
      <c r="G593" s="4">
        <f>IFERROR(__xludf.DUMMYFUNCTION("""COMPUTED_VALUE"""),45141.66666666667)</f>
        <v>45141.66667</v>
      </c>
      <c r="H593" s="1">
        <f>IFERROR(__xludf.DUMMYFUNCTION("""COMPUTED_VALUE"""),159.67)</f>
        <v>159.67</v>
      </c>
      <c r="I593" s="5">
        <f t="shared" si="1"/>
        <v>-0.04802008683</v>
      </c>
      <c r="K593" s="5">
        <f t="shared" si="2"/>
        <v>0.003428641401</v>
      </c>
      <c r="L593" s="5">
        <f t="shared" si="3"/>
        <v>0.002800597461</v>
      </c>
      <c r="M593" s="5">
        <f t="shared" si="4"/>
        <v>-0.002254650216</v>
      </c>
      <c r="Q593" s="5"/>
    </row>
    <row r="594">
      <c r="A594" s="4">
        <f>IFERROR(__xludf.DUMMYFUNCTION("""COMPUTED_VALUE"""),45142.66666666667)</f>
        <v>45142.66667</v>
      </c>
      <c r="B594" s="1">
        <f>IFERROR(__xludf.DUMMYFUNCTION("""COMPUTED_VALUE"""),181.99)</f>
        <v>181.99</v>
      </c>
      <c r="C594" s="4">
        <f>IFERROR(__xludf.DUMMYFUNCTION("""COMPUTED_VALUE"""),45142.66666666667)</f>
        <v>45142.66667</v>
      </c>
      <c r="D594" s="1">
        <f>IFERROR(__xludf.DUMMYFUNCTION("""COMPUTED_VALUE"""),327.78)</f>
        <v>327.78</v>
      </c>
      <c r="E594" s="4">
        <f>IFERROR(__xludf.DUMMYFUNCTION("""COMPUTED_VALUE"""),45142.66666666667)</f>
        <v>45142.66667</v>
      </c>
      <c r="F594" s="1">
        <f>IFERROR(__xludf.DUMMYFUNCTION("""COMPUTED_VALUE"""),107.42)</f>
        <v>107.42</v>
      </c>
      <c r="G594" s="4">
        <f>IFERROR(__xludf.DUMMYFUNCTION("""COMPUTED_VALUE"""),45142.66666666667)</f>
        <v>45142.66667</v>
      </c>
      <c r="H594" s="1">
        <f>IFERROR(__xludf.DUMMYFUNCTION("""COMPUTED_VALUE"""),159.31)</f>
        <v>159.31</v>
      </c>
      <c r="I594" s="5">
        <f t="shared" si="1"/>
        <v>-0.01725369526</v>
      </c>
      <c r="K594" s="5">
        <f t="shared" si="2"/>
        <v>0.007108426384</v>
      </c>
      <c r="L594" s="5">
        <f t="shared" si="3"/>
        <v>-0.002048035748</v>
      </c>
      <c r="M594" s="5">
        <f t="shared" si="4"/>
        <v>0.003640700521</v>
      </c>
      <c r="Q594" s="5"/>
    </row>
    <row r="595">
      <c r="A595" s="4">
        <f>IFERROR(__xludf.DUMMYFUNCTION("""COMPUTED_VALUE"""),45145.66666666667)</f>
        <v>45145.66667</v>
      </c>
      <c r="B595" s="1">
        <f>IFERROR(__xludf.DUMMYFUNCTION("""COMPUTED_VALUE"""),178.85)</f>
        <v>178.85</v>
      </c>
      <c r="C595" s="4">
        <f>IFERROR(__xludf.DUMMYFUNCTION("""COMPUTED_VALUE"""),45145.66666666667)</f>
        <v>45145.66667</v>
      </c>
      <c r="D595" s="1">
        <f>IFERROR(__xludf.DUMMYFUNCTION("""COMPUTED_VALUE"""),330.11)</f>
        <v>330.11</v>
      </c>
      <c r="E595" s="4">
        <f>IFERROR(__xludf.DUMMYFUNCTION("""COMPUTED_VALUE"""),45145.66666666667)</f>
        <v>45145.66667</v>
      </c>
      <c r="F595" s="1">
        <f>IFERROR(__xludf.DUMMYFUNCTION("""COMPUTED_VALUE"""),107.2)</f>
        <v>107.2</v>
      </c>
      <c r="G595" s="4">
        <f>IFERROR(__xludf.DUMMYFUNCTION("""COMPUTED_VALUE"""),45145.66666666667)</f>
        <v>45145.66667</v>
      </c>
      <c r="H595" s="1">
        <f>IFERROR(__xludf.DUMMYFUNCTION("""COMPUTED_VALUE"""),159.89)</f>
        <v>159.89</v>
      </c>
      <c r="I595" s="5">
        <f t="shared" si="1"/>
        <v>0.005311713727</v>
      </c>
      <c r="K595" s="5">
        <f t="shared" si="2"/>
        <v>-0.01229893066</v>
      </c>
      <c r="L595" s="5">
        <f t="shared" si="3"/>
        <v>0.004944029851</v>
      </c>
      <c r="M595" s="5">
        <f t="shared" si="4"/>
        <v>-0.001501031959</v>
      </c>
      <c r="Q595" s="5"/>
    </row>
    <row r="596">
      <c r="A596" s="4">
        <f>IFERROR(__xludf.DUMMYFUNCTION("""COMPUTED_VALUE"""),45146.66666666667)</f>
        <v>45146.66667</v>
      </c>
      <c r="B596" s="1">
        <f>IFERROR(__xludf.DUMMYFUNCTION("""COMPUTED_VALUE"""),179.8)</f>
        <v>179.8</v>
      </c>
      <c r="C596" s="4">
        <f>IFERROR(__xludf.DUMMYFUNCTION("""COMPUTED_VALUE"""),45146.66666666667)</f>
        <v>45146.66667</v>
      </c>
      <c r="D596" s="1">
        <f>IFERROR(__xludf.DUMMYFUNCTION("""COMPUTED_VALUE"""),326.05)</f>
        <v>326.05</v>
      </c>
      <c r="E596" s="4">
        <f>IFERROR(__xludf.DUMMYFUNCTION("""COMPUTED_VALUE"""),45146.66666666667)</f>
        <v>45146.66667</v>
      </c>
      <c r="F596" s="1">
        <f>IFERROR(__xludf.DUMMYFUNCTION("""COMPUTED_VALUE"""),107.73)</f>
        <v>107.73</v>
      </c>
      <c r="G596" s="4">
        <f>IFERROR(__xludf.DUMMYFUNCTION("""COMPUTED_VALUE"""),45146.66666666667)</f>
        <v>45146.66667</v>
      </c>
      <c r="H596" s="1">
        <f>IFERROR(__xludf.DUMMYFUNCTION("""COMPUTED_VALUE"""),159.65)</f>
        <v>159.65</v>
      </c>
      <c r="I596" s="5">
        <f t="shared" si="1"/>
        <v>-0.008954393771</v>
      </c>
      <c r="K596" s="5">
        <f t="shared" si="2"/>
        <v>-0.01171599448</v>
      </c>
      <c r="L596" s="5">
        <f t="shared" si="3"/>
        <v>0.01698691172</v>
      </c>
      <c r="M596" s="5">
        <f t="shared" si="4"/>
        <v>0.001315377388</v>
      </c>
      <c r="Q596" s="5"/>
    </row>
    <row r="597">
      <c r="A597" s="4">
        <f>IFERROR(__xludf.DUMMYFUNCTION("""COMPUTED_VALUE"""),45147.66666666667)</f>
        <v>45147.66667</v>
      </c>
      <c r="B597" s="1">
        <f>IFERROR(__xludf.DUMMYFUNCTION("""COMPUTED_VALUE"""),178.19)</f>
        <v>178.19</v>
      </c>
      <c r="C597" s="4">
        <f>IFERROR(__xludf.DUMMYFUNCTION("""COMPUTED_VALUE"""),45147.66666666667)</f>
        <v>45147.66667</v>
      </c>
      <c r="D597" s="1">
        <f>IFERROR(__xludf.DUMMYFUNCTION("""COMPUTED_VALUE"""),322.23)</f>
        <v>322.23</v>
      </c>
      <c r="E597" s="4">
        <f>IFERROR(__xludf.DUMMYFUNCTION("""COMPUTED_VALUE"""),45147.66666666667)</f>
        <v>45147.66667</v>
      </c>
      <c r="F597" s="1">
        <f>IFERROR(__xludf.DUMMYFUNCTION("""COMPUTED_VALUE"""),109.56)</f>
        <v>109.56</v>
      </c>
      <c r="G597" s="4">
        <f>IFERROR(__xludf.DUMMYFUNCTION("""COMPUTED_VALUE"""),45147.66666666667)</f>
        <v>45147.66667</v>
      </c>
      <c r="H597" s="1">
        <f>IFERROR(__xludf.DUMMYFUNCTION("""COMPUTED_VALUE"""),159.86)</f>
        <v>159.86</v>
      </c>
      <c r="I597" s="5">
        <f t="shared" si="1"/>
        <v>-0.001234637185</v>
      </c>
      <c r="K597" s="5">
        <f t="shared" si="2"/>
        <v>0.002172361357</v>
      </c>
      <c r="L597" s="5">
        <f t="shared" si="3"/>
        <v>0.005111354509</v>
      </c>
      <c r="M597" s="5">
        <f t="shared" si="4"/>
        <v>0.006067809333</v>
      </c>
      <c r="Q597" s="5"/>
    </row>
    <row r="598">
      <c r="A598" s="4">
        <f>IFERROR(__xludf.DUMMYFUNCTION("""COMPUTED_VALUE"""),45148.66666666667)</f>
        <v>45148.66667</v>
      </c>
      <c r="B598" s="1">
        <f>IFERROR(__xludf.DUMMYFUNCTION("""COMPUTED_VALUE"""),177.97)</f>
        <v>177.97</v>
      </c>
      <c r="C598" s="4">
        <f>IFERROR(__xludf.DUMMYFUNCTION("""COMPUTED_VALUE"""),45148.66666666667)</f>
        <v>45148.66667</v>
      </c>
      <c r="D598" s="1">
        <f>IFERROR(__xludf.DUMMYFUNCTION("""COMPUTED_VALUE"""),322.93)</f>
        <v>322.93</v>
      </c>
      <c r="E598" s="4">
        <f>IFERROR(__xludf.DUMMYFUNCTION("""COMPUTED_VALUE"""),45148.66666666667)</f>
        <v>45148.66667</v>
      </c>
      <c r="F598" s="1">
        <f>IFERROR(__xludf.DUMMYFUNCTION("""COMPUTED_VALUE"""),110.12)</f>
        <v>110.12</v>
      </c>
      <c r="G598" s="4">
        <f>IFERROR(__xludf.DUMMYFUNCTION("""COMPUTED_VALUE"""),45148.66666666667)</f>
        <v>45148.66667</v>
      </c>
      <c r="H598" s="1">
        <f>IFERROR(__xludf.DUMMYFUNCTION("""COMPUTED_VALUE"""),160.83)</f>
        <v>160.83</v>
      </c>
      <c r="I598" s="5">
        <f t="shared" si="1"/>
        <v>-0.001011406417</v>
      </c>
      <c r="K598" s="5">
        <f t="shared" si="2"/>
        <v>-0.005945560957</v>
      </c>
      <c r="L598" s="5">
        <f t="shared" si="3"/>
        <v>0.01552851435</v>
      </c>
      <c r="M598" s="5">
        <f t="shared" si="4"/>
        <v>0.02064291488</v>
      </c>
      <c r="Q598" s="5"/>
    </row>
    <row r="599">
      <c r="A599" s="4">
        <f>IFERROR(__xludf.DUMMYFUNCTION("""COMPUTED_VALUE"""),45149.66666666667)</f>
        <v>45149.66667</v>
      </c>
      <c r="B599" s="1">
        <f>IFERROR(__xludf.DUMMYFUNCTION("""COMPUTED_VALUE"""),177.79)</f>
        <v>177.79</v>
      </c>
      <c r="C599" s="4">
        <f>IFERROR(__xludf.DUMMYFUNCTION("""COMPUTED_VALUE"""),45149.66666666667)</f>
        <v>45149.66667</v>
      </c>
      <c r="D599" s="1">
        <f>IFERROR(__xludf.DUMMYFUNCTION("""COMPUTED_VALUE"""),321.01)</f>
        <v>321.01</v>
      </c>
      <c r="E599" s="4">
        <f>IFERROR(__xludf.DUMMYFUNCTION("""COMPUTED_VALUE"""),45149.66666666667)</f>
        <v>45149.66667</v>
      </c>
      <c r="F599" s="1">
        <f>IFERROR(__xludf.DUMMYFUNCTION("""COMPUTED_VALUE"""),111.83)</f>
        <v>111.83</v>
      </c>
      <c r="G599" s="4">
        <f>IFERROR(__xludf.DUMMYFUNCTION("""COMPUTED_VALUE"""),45149.66666666667)</f>
        <v>45149.66667</v>
      </c>
      <c r="H599" s="1">
        <f>IFERROR(__xludf.DUMMYFUNCTION("""COMPUTED_VALUE"""),164.15)</f>
        <v>164.15</v>
      </c>
      <c r="I599" s="5">
        <f t="shared" si="1"/>
        <v>0.009393104224</v>
      </c>
      <c r="K599" s="5">
        <f t="shared" si="2"/>
        <v>0.009438958288</v>
      </c>
      <c r="L599" s="5">
        <f t="shared" si="3"/>
        <v>0.0008047929894</v>
      </c>
      <c r="M599" s="5">
        <f t="shared" si="4"/>
        <v>-0.0007310386841</v>
      </c>
      <c r="Q599" s="5"/>
    </row>
    <row r="600">
      <c r="A600" s="4">
        <f>IFERROR(__xludf.DUMMYFUNCTION("""COMPUTED_VALUE"""),45152.66666666667)</f>
        <v>45152.66667</v>
      </c>
      <c r="B600" s="1">
        <f>IFERROR(__xludf.DUMMYFUNCTION("""COMPUTED_VALUE"""),179.46)</f>
        <v>179.46</v>
      </c>
      <c r="C600" s="4">
        <f>IFERROR(__xludf.DUMMYFUNCTION("""COMPUTED_VALUE"""),45152.66666666667)</f>
        <v>45152.66667</v>
      </c>
      <c r="D600" s="1">
        <f>IFERROR(__xludf.DUMMYFUNCTION("""COMPUTED_VALUE"""),324.04)</f>
        <v>324.04</v>
      </c>
      <c r="E600" s="4">
        <f>IFERROR(__xludf.DUMMYFUNCTION("""COMPUTED_VALUE"""),45152.66666666667)</f>
        <v>45152.66667</v>
      </c>
      <c r="F600" s="1">
        <f>IFERROR(__xludf.DUMMYFUNCTION("""COMPUTED_VALUE"""),111.92)</f>
        <v>111.92</v>
      </c>
      <c r="G600" s="4">
        <f>IFERROR(__xludf.DUMMYFUNCTION("""COMPUTED_VALUE"""),45152.66666666667)</f>
        <v>45152.66667</v>
      </c>
      <c r="H600" s="1">
        <f>IFERROR(__xludf.DUMMYFUNCTION("""COMPUTED_VALUE"""),164.03)</f>
        <v>164.03</v>
      </c>
      <c r="I600" s="5">
        <f t="shared" si="1"/>
        <v>-0.01120026747</v>
      </c>
      <c r="K600" s="5">
        <f t="shared" si="2"/>
        <v>-0.006727564498</v>
      </c>
      <c r="L600" s="5">
        <f t="shared" si="3"/>
        <v>-0.0335954253</v>
      </c>
      <c r="M600" s="5">
        <f t="shared" si="4"/>
        <v>-0.02920197525</v>
      </c>
      <c r="Q600" s="5"/>
    </row>
    <row r="601">
      <c r="A601" s="4">
        <f>IFERROR(__xludf.DUMMYFUNCTION("""COMPUTED_VALUE"""),45153.66666666667)</f>
        <v>45153.66667</v>
      </c>
      <c r="B601" s="1">
        <f>IFERROR(__xludf.DUMMYFUNCTION("""COMPUTED_VALUE"""),177.45)</f>
        <v>177.45</v>
      </c>
      <c r="C601" s="4">
        <f>IFERROR(__xludf.DUMMYFUNCTION("""COMPUTED_VALUE"""),45153.66666666667)</f>
        <v>45153.66667</v>
      </c>
      <c r="D601" s="1">
        <f>IFERROR(__xludf.DUMMYFUNCTION("""COMPUTED_VALUE"""),321.86)</f>
        <v>321.86</v>
      </c>
      <c r="E601" s="4">
        <f>IFERROR(__xludf.DUMMYFUNCTION("""COMPUTED_VALUE"""),45153.66666666667)</f>
        <v>45153.66667</v>
      </c>
      <c r="F601" s="1">
        <f>IFERROR(__xludf.DUMMYFUNCTION("""COMPUTED_VALUE"""),108.16)</f>
        <v>108.16</v>
      </c>
      <c r="G601" s="4">
        <f>IFERROR(__xludf.DUMMYFUNCTION("""COMPUTED_VALUE"""),45153.66666666667)</f>
        <v>45153.66667</v>
      </c>
      <c r="H601" s="1">
        <f>IFERROR(__xludf.DUMMYFUNCTION("""COMPUTED_VALUE"""),159.24)</f>
        <v>159.24</v>
      </c>
      <c r="I601" s="5">
        <f t="shared" si="1"/>
        <v>-0.004959143421</v>
      </c>
      <c r="K601" s="5">
        <f t="shared" si="2"/>
        <v>-0.004536133723</v>
      </c>
      <c r="L601" s="5">
        <f t="shared" si="3"/>
        <v>-0.01682692308</v>
      </c>
      <c r="M601" s="5">
        <f t="shared" si="4"/>
        <v>-0.003830695805</v>
      </c>
      <c r="Q601" s="5"/>
    </row>
    <row r="602">
      <c r="A602" s="4">
        <f>IFERROR(__xludf.DUMMYFUNCTION("""COMPUTED_VALUE"""),45154.66666666667)</f>
        <v>45154.66667</v>
      </c>
      <c r="B602" s="1">
        <f>IFERROR(__xludf.DUMMYFUNCTION("""COMPUTED_VALUE"""),176.57)</f>
        <v>176.57</v>
      </c>
      <c r="C602" s="4">
        <f>IFERROR(__xludf.DUMMYFUNCTION("""COMPUTED_VALUE"""),45154.66666666667)</f>
        <v>45154.66667</v>
      </c>
      <c r="D602" s="1">
        <f>IFERROR(__xludf.DUMMYFUNCTION("""COMPUTED_VALUE"""),320.4)</f>
        <v>320.4</v>
      </c>
      <c r="E602" s="4">
        <f>IFERROR(__xludf.DUMMYFUNCTION("""COMPUTED_VALUE"""),45154.66666666667)</f>
        <v>45154.66667</v>
      </c>
      <c r="F602" s="1">
        <f>IFERROR(__xludf.DUMMYFUNCTION("""COMPUTED_VALUE"""),106.34)</f>
        <v>106.34</v>
      </c>
      <c r="G602" s="4">
        <f>IFERROR(__xludf.DUMMYFUNCTION("""COMPUTED_VALUE"""),45154.66666666667)</f>
        <v>45154.66667</v>
      </c>
      <c r="H602" s="1">
        <f>IFERROR(__xludf.DUMMYFUNCTION("""COMPUTED_VALUE"""),158.63)</f>
        <v>158.63</v>
      </c>
      <c r="I602" s="5">
        <f t="shared" si="1"/>
        <v>-0.01455513394</v>
      </c>
      <c r="K602" s="5">
        <f t="shared" si="2"/>
        <v>-0.01098626717</v>
      </c>
      <c r="L602" s="5">
        <f t="shared" si="3"/>
        <v>0.01937182622</v>
      </c>
      <c r="M602" s="5">
        <f t="shared" si="4"/>
        <v>0.007060455147</v>
      </c>
      <c r="Q602" s="5"/>
    </row>
    <row r="603">
      <c r="A603" s="4">
        <f>IFERROR(__xludf.DUMMYFUNCTION("""COMPUTED_VALUE"""),45155.66666666667)</f>
        <v>45155.66667</v>
      </c>
      <c r="B603" s="1">
        <f>IFERROR(__xludf.DUMMYFUNCTION("""COMPUTED_VALUE"""),174.0)</f>
        <v>174</v>
      </c>
      <c r="C603" s="4">
        <f>IFERROR(__xludf.DUMMYFUNCTION("""COMPUTED_VALUE"""),45155.66666666667)</f>
        <v>45155.66667</v>
      </c>
      <c r="D603" s="1">
        <f>IFERROR(__xludf.DUMMYFUNCTION("""COMPUTED_VALUE"""),316.88)</f>
        <v>316.88</v>
      </c>
      <c r="E603" s="4">
        <f>IFERROR(__xludf.DUMMYFUNCTION("""COMPUTED_VALUE"""),45155.66666666667)</f>
        <v>45155.66667</v>
      </c>
      <c r="F603" s="1">
        <f>IFERROR(__xludf.DUMMYFUNCTION("""COMPUTED_VALUE"""),108.4)</f>
        <v>108.4</v>
      </c>
      <c r="G603" s="4">
        <f>IFERROR(__xludf.DUMMYFUNCTION("""COMPUTED_VALUE"""),45155.66666666667)</f>
        <v>45155.66667</v>
      </c>
      <c r="H603" s="1">
        <f>IFERROR(__xludf.DUMMYFUNCTION("""COMPUTED_VALUE"""),159.75)</f>
        <v>159.75</v>
      </c>
      <c r="I603" s="5">
        <f t="shared" si="1"/>
        <v>0.002816091954</v>
      </c>
      <c r="K603" s="5">
        <f t="shared" si="2"/>
        <v>-0.001262307498</v>
      </c>
      <c r="L603" s="5">
        <f t="shared" si="3"/>
        <v>0.01512915129</v>
      </c>
      <c r="M603" s="5">
        <f t="shared" si="4"/>
        <v>0.007198748044</v>
      </c>
      <c r="Q603" s="5"/>
    </row>
    <row r="604">
      <c r="A604" s="4">
        <f>IFERROR(__xludf.DUMMYFUNCTION("""COMPUTED_VALUE"""),45156.66666666667)</f>
        <v>45156.66667</v>
      </c>
      <c r="B604" s="1">
        <f>IFERROR(__xludf.DUMMYFUNCTION("""COMPUTED_VALUE"""),174.49)</f>
        <v>174.49</v>
      </c>
      <c r="C604" s="4">
        <f>IFERROR(__xludf.DUMMYFUNCTION("""COMPUTED_VALUE"""),45156.66666666667)</f>
        <v>45156.66667</v>
      </c>
      <c r="D604" s="1">
        <f>IFERROR(__xludf.DUMMYFUNCTION("""COMPUTED_VALUE"""),316.48)</f>
        <v>316.48</v>
      </c>
      <c r="E604" s="4">
        <f>IFERROR(__xludf.DUMMYFUNCTION("""COMPUTED_VALUE"""),45156.66666666667)</f>
        <v>45156.66667</v>
      </c>
      <c r="F604" s="1">
        <f>IFERROR(__xludf.DUMMYFUNCTION("""COMPUTED_VALUE"""),110.04)</f>
        <v>110.04</v>
      </c>
      <c r="G604" s="4">
        <f>IFERROR(__xludf.DUMMYFUNCTION("""COMPUTED_VALUE"""),45156.66666666667)</f>
        <v>45156.66667</v>
      </c>
      <c r="H604" s="1">
        <f>IFERROR(__xludf.DUMMYFUNCTION("""COMPUTED_VALUE"""),160.9)</f>
        <v>160.9</v>
      </c>
      <c r="I604" s="5">
        <f t="shared" si="1"/>
        <v>0.007736833056</v>
      </c>
      <c r="K604" s="5">
        <f t="shared" si="2"/>
        <v>0.01706268959</v>
      </c>
      <c r="L604" s="5">
        <f t="shared" si="3"/>
        <v>-0.01208651399</v>
      </c>
      <c r="M604" s="5">
        <f t="shared" si="4"/>
        <v>-0.003356121815</v>
      </c>
      <c r="Q604" s="5"/>
    </row>
    <row r="605">
      <c r="A605" s="4">
        <f>IFERROR(__xludf.DUMMYFUNCTION("""COMPUTED_VALUE"""),45159.66666666667)</f>
        <v>45159.66667</v>
      </c>
      <c r="B605" s="1">
        <f>IFERROR(__xludf.DUMMYFUNCTION("""COMPUTED_VALUE"""),175.84)</f>
        <v>175.84</v>
      </c>
      <c r="C605" s="4">
        <f>IFERROR(__xludf.DUMMYFUNCTION("""COMPUTED_VALUE"""),45159.66666666667)</f>
        <v>45159.66667</v>
      </c>
      <c r="D605" s="1">
        <f>IFERROR(__xludf.DUMMYFUNCTION("""COMPUTED_VALUE"""),321.88)</f>
        <v>321.88</v>
      </c>
      <c r="E605" s="4">
        <f>IFERROR(__xludf.DUMMYFUNCTION("""COMPUTED_VALUE"""),45159.66666666667)</f>
        <v>45159.66667</v>
      </c>
      <c r="F605" s="1">
        <f>IFERROR(__xludf.DUMMYFUNCTION("""COMPUTED_VALUE"""),108.71)</f>
        <v>108.71</v>
      </c>
      <c r="G605" s="4">
        <f>IFERROR(__xludf.DUMMYFUNCTION("""COMPUTED_VALUE"""),45159.66666666667)</f>
        <v>45159.66667</v>
      </c>
      <c r="H605" s="1">
        <f>IFERROR(__xludf.DUMMYFUNCTION("""COMPUTED_VALUE"""),160.36)</f>
        <v>160.36</v>
      </c>
      <c r="I605" s="5">
        <f t="shared" si="1"/>
        <v>0.007904913558</v>
      </c>
      <c r="K605" s="5">
        <f t="shared" si="2"/>
        <v>0.001801913757</v>
      </c>
      <c r="L605" s="5">
        <f t="shared" si="3"/>
        <v>-0.005611259314</v>
      </c>
      <c r="M605" s="5">
        <f t="shared" si="4"/>
        <v>-0.008231479172</v>
      </c>
      <c r="Q605" s="5"/>
    </row>
    <row r="606">
      <c r="A606" s="4">
        <f>IFERROR(__xludf.DUMMYFUNCTION("""COMPUTED_VALUE"""),45160.66666666667)</f>
        <v>45160.66667</v>
      </c>
      <c r="B606" s="1">
        <f>IFERROR(__xludf.DUMMYFUNCTION("""COMPUTED_VALUE"""),177.23)</f>
        <v>177.23</v>
      </c>
      <c r="C606" s="4">
        <f>IFERROR(__xludf.DUMMYFUNCTION("""COMPUTED_VALUE"""),45160.66666666667)</f>
        <v>45160.66667</v>
      </c>
      <c r="D606" s="1">
        <f>IFERROR(__xludf.DUMMYFUNCTION("""COMPUTED_VALUE"""),322.46)</f>
        <v>322.46</v>
      </c>
      <c r="E606" s="4">
        <f>IFERROR(__xludf.DUMMYFUNCTION("""COMPUTED_VALUE"""),45160.66666666667)</f>
        <v>45160.66667</v>
      </c>
      <c r="F606" s="1">
        <f>IFERROR(__xludf.DUMMYFUNCTION("""COMPUTED_VALUE"""),108.1)</f>
        <v>108.1</v>
      </c>
      <c r="G606" s="4">
        <f>IFERROR(__xludf.DUMMYFUNCTION("""COMPUTED_VALUE"""),45160.66666666667)</f>
        <v>45160.66667</v>
      </c>
      <c r="H606" s="1">
        <f>IFERROR(__xludf.DUMMYFUNCTION("""COMPUTED_VALUE"""),159.04)</f>
        <v>159.04</v>
      </c>
      <c r="I606" s="5">
        <f t="shared" si="1"/>
        <v>0.02194887999</v>
      </c>
      <c r="K606" s="5">
        <f t="shared" si="2"/>
        <v>0.01407926565</v>
      </c>
      <c r="L606" s="5">
        <f t="shared" si="3"/>
        <v>-0.008788159112</v>
      </c>
      <c r="M606" s="5">
        <f t="shared" si="4"/>
        <v>0.001320422535</v>
      </c>
      <c r="Q606" s="5"/>
    </row>
    <row r="607">
      <c r="A607" s="4">
        <f>IFERROR(__xludf.DUMMYFUNCTION("""COMPUTED_VALUE"""),45161.66666666667)</f>
        <v>45161.66667</v>
      </c>
      <c r="B607" s="1">
        <f>IFERROR(__xludf.DUMMYFUNCTION("""COMPUTED_VALUE"""),181.12)</f>
        <v>181.12</v>
      </c>
      <c r="C607" s="4">
        <f>IFERROR(__xludf.DUMMYFUNCTION("""COMPUTED_VALUE"""),45161.66666666667)</f>
        <v>45161.66667</v>
      </c>
      <c r="D607" s="1">
        <f>IFERROR(__xludf.DUMMYFUNCTION("""COMPUTED_VALUE"""),327.0)</f>
        <v>327</v>
      </c>
      <c r="E607" s="4">
        <f>IFERROR(__xludf.DUMMYFUNCTION("""COMPUTED_VALUE"""),45161.66666666667)</f>
        <v>45161.66667</v>
      </c>
      <c r="F607" s="1">
        <f>IFERROR(__xludf.DUMMYFUNCTION("""COMPUTED_VALUE"""),107.15)</f>
        <v>107.15</v>
      </c>
      <c r="G607" s="4">
        <f>IFERROR(__xludf.DUMMYFUNCTION("""COMPUTED_VALUE"""),45161.66666666667)</f>
        <v>45161.66667</v>
      </c>
      <c r="H607" s="1">
        <f>IFERROR(__xludf.DUMMYFUNCTION("""COMPUTED_VALUE"""),159.25)</f>
        <v>159.25</v>
      </c>
      <c r="I607" s="5">
        <f t="shared" si="1"/>
        <v>-0.0261704947</v>
      </c>
      <c r="K607" s="5">
        <f t="shared" si="2"/>
        <v>-0.02149847095</v>
      </c>
      <c r="L607" s="5">
        <f t="shared" si="3"/>
        <v>-0.007466168922</v>
      </c>
      <c r="M607" s="5">
        <f t="shared" si="4"/>
        <v>-0.008226059655</v>
      </c>
      <c r="Q607" s="5"/>
    </row>
    <row r="608">
      <c r="A608" s="4">
        <f>IFERROR(__xludf.DUMMYFUNCTION("""COMPUTED_VALUE"""),45162.66666666667)</f>
        <v>45162.66667</v>
      </c>
      <c r="B608" s="1">
        <f>IFERROR(__xludf.DUMMYFUNCTION("""COMPUTED_VALUE"""),176.38)</f>
        <v>176.38</v>
      </c>
      <c r="C608" s="4">
        <f>IFERROR(__xludf.DUMMYFUNCTION("""COMPUTED_VALUE"""),45162.66666666667)</f>
        <v>45162.66667</v>
      </c>
      <c r="D608" s="1">
        <f>IFERROR(__xludf.DUMMYFUNCTION("""COMPUTED_VALUE"""),319.97)</f>
        <v>319.97</v>
      </c>
      <c r="E608" s="4">
        <f>IFERROR(__xludf.DUMMYFUNCTION("""COMPUTED_VALUE"""),45162.66666666667)</f>
        <v>45162.66667</v>
      </c>
      <c r="F608" s="1">
        <f>IFERROR(__xludf.DUMMYFUNCTION("""COMPUTED_VALUE"""),106.35)</f>
        <v>106.35</v>
      </c>
      <c r="G608" s="4">
        <f>IFERROR(__xludf.DUMMYFUNCTION("""COMPUTED_VALUE"""),45162.66666666667)</f>
        <v>45162.66667</v>
      </c>
      <c r="H608" s="1">
        <f>IFERROR(__xludf.DUMMYFUNCTION("""COMPUTED_VALUE"""),157.94)</f>
        <v>157.94</v>
      </c>
      <c r="I608" s="5">
        <f t="shared" si="1"/>
        <v>0.01264315682</v>
      </c>
      <c r="K608" s="5">
        <f t="shared" si="2"/>
        <v>0.009407131919</v>
      </c>
      <c r="L608" s="5">
        <f t="shared" si="3"/>
        <v>0.01786553832</v>
      </c>
      <c r="M608" s="5">
        <f t="shared" si="4"/>
        <v>0.007471191592</v>
      </c>
      <c r="Q608" s="5"/>
    </row>
    <row r="609">
      <c r="A609" s="4">
        <f>IFERROR(__xludf.DUMMYFUNCTION("""COMPUTED_VALUE"""),45163.66666666667)</f>
        <v>45163.66667</v>
      </c>
      <c r="B609" s="1">
        <f>IFERROR(__xludf.DUMMYFUNCTION("""COMPUTED_VALUE"""),178.61)</f>
        <v>178.61</v>
      </c>
      <c r="C609" s="4">
        <f>IFERROR(__xludf.DUMMYFUNCTION("""COMPUTED_VALUE"""),45163.66666666667)</f>
        <v>45163.66667</v>
      </c>
      <c r="D609" s="1">
        <f>IFERROR(__xludf.DUMMYFUNCTION("""COMPUTED_VALUE"""),322.98)</f>
        <v>322.98</v>
      </c>
      <c r="E609" s="4">
        <f>IFERROR(__xludf.DUMMYFUNCTION("""COMPUTED_VALUE"""),45163.66666666667)</f>
        <v>45163.66667</v>
      </c>
      <c r="F609" s="1">
        <f>IFERROR(__xludf.DUMMYFUNCTION("""COMPUTED_VALUE"""),108.25)</f>
        <v>108.25</v>
      </c>
      <c r="G609" s="4">
        <f>IFERROR(__xludf.DUMMYFUNCTION("""COMPUTED_VALUE"""),45163.66666666667)</f>
        <v>45163.66667</v>
      </c>
      <c r="H609" s="1">
        <f>IFERROR(__xludf.DUMMYFUNCTION("""COMPUTED_VALUE"""),159.12)</f>
        <v>159.12</v>
      </c>
      <c r="I609" s="5">
        <f t="shared" si="1"/>
        <v>0.008846089245</v>
      </c>
      <c r="K609" s="5">
        <f t="shared" si="2"/>
        <v>0.002229240201</v>
      </c>
      <c r="L609" s="5">
        <f t="shared" si="3"/>
        <v>0.008406466513</v>
      </c>
      <c r="M609" s="5">
        <f t="shared" si="4"/>
        <v>0.006850175968</v>
      </c>
      <c r="Q609" s="5"/>
    </row>
    <row r="610">
      <c r="A610" s="4">
        <f>IFERROR(__xludf.DUMMYFUNCTION("""COMPUTED_VALUE"""),45166.66666666667)</f>
        <v>45166.66667</v>
      </c>
      <c r="B610" s="1">
        <f>IFERROR(__xludf.DUMMYFUNCTION("""COMPUTED_VALUE"""),180.19)</f>
        <v>180.19</v>
      </c>
      <c r="C610" s="4">
        <f>IFERROR(__xludf.DUMMYFUNCTION("""COMPUTED_VALUE"""),45166.66666666667)</f>
        <v>45166.66667</v>
      </c>
      <c r="D610" s="1">
        <f>IFERROR(__xludf.DUMMYFUNCTION("""COMPUTED_VALUE"""),323.7)</f>
        <v>323.7</v>
      </c>
      <c r="E610" s="4">
        <f>IFERROR(__xludf.DUMMYFUNCTION("""COMPUTED_VALUE"""),45166.66666666667)</f>
        <v>45166.66667</v>
      </c>
      <c r="F610" s="1">
        <f>IFERROR(__xludf.DUMMYFUNCTION("""COMPUTED_VALUE"""),109.16)</f>
        <v>109.16</v>
      </c>
      <c r="G610" s="4">
        <f>IFERROR(__xludf.DUMMYFUNCTION("""COMPUTED_VALUE"""),45166.66666666667)</f>
        <v>45166.66667</v>
      </c>
      <c r="H610" s="1">
        <f>IFERROR(__xludf.DUMMYFUNCTION("""COMPUTED_VALUE"""),160.21)</f>
        <v>160.21</v>
      </c>
      <c r="I610" s="5">
        <f t="shared" si="1"/>
        <v>0.02181031134</v>
      </c>
      <c r="K610" s="5">
        <f t="shared" si="2"/>
        <v>0.01455050973</v>
      </c>
      <c r="L610" s="5">
        <f t="shared" si="3"/>
        <v>0.005954562111</v>
      </c>
      <c r="M610" s="5">
        <f t="shared" si="4"/>
        <v>-0.001560451907</v>
      </c>
      <c r="Q610" s="5"/>
    </row>
    <row r="611">
      <c r="A611" s="4">
        <f>IFERROR(__xludf.DUMMYFUNCTION("""COMPUTED_VALUE"""),45167.66666666667)</f>
        <v>45167.66667</v>
      </c>
      <c r="B611" s="1">
        <f>IFERROR(__xludf.DUMMYFUNCTION("""COMPUTED_VALUE"""),184.12)</f>
        <v>184.12</v>
      </c>
      <c r="C611" s="4">
        <f>IFERROR(__xludf.DUMMYFUNCTION("""COMPUTED_VALUE"""),45167.66666666667)</f>
        <v>45167.66667</v>
      </c>
      <c r="D611" s="1">
        <f>IFERROR(__xludf.DUMMYFUNCTION("""COMPUTED_VALUE"""),328.41)</f>
        <v>328.41</v>
      </c>
      <c r="E611" s="4">
        <f>IFERROR(__xludf.DUMMYFUNCTION("""COMPUTED_VALUE"""),45167.66666666667)</f>
        <v>45167.66667</v>
      </c>
      <c r="F611" s="1">
        <f>IFERROR(__xludf.DUMMYFUNCTION("""COMPUTED_VALUE"""),109.81)</f>
        <v>109.81</v>
      </c>
      <c r="G611" s="4">
        <f>IFERROR(__xludf.DUMMYFUNCTION("""COMPUTED_VALUE"""),45167.66666666667)</f>
        <v>45167.66667</v>
      </c>
      <c r="H611" s="1">
        <f>IFERROR(__xludf.DUMMYFUNCTION("""COMPUTED_VALUE"""),159.96)</f>
        <v>159.96</v>
      </c>
      <c r="I611" s="5">
        <f t="shared" si="1"/>
        <v>0.01917227895</v>
      </c>
      <c r="K611" s="5">
        <f t="shared" si="2"/>
        <v>0.001157090223</v>
      </c>
      <c r="L611" s="5">
        <f t="shared" si="3"/>
        <v>0.009744103451</v>
      </c>
      <c r="M611" s="5">
        <f t="shared" si="4"/>
        <v>0.001375343836</v>
      </c>
      <c r="Q611" s="5"/>
    </row>
    <row r="612">
      <c r="A612" s="4">
        <f>IFERROR(__xludf.DUMMYFUNCTION("""COMPUTED_VALUE"""),45168.66666666667)</f>
        <v>45168.66667</v>
      </c>
      <c r="B612" s="1">
        <f>IFERROR(__xludf.DUMMYFUNCTION("""COMPUTED_VALUE"""),187.65)</f>
        <v>187.65</v>
      </c>
      <c r="C612" s="4">
        <f>IFERROR(__xludf.DUMMYFUNCTION("""COMPUTED_VALUE"""),45168.66666666667)</f>
        <v>45168.66667</v>
      </c>
      <c r="D612" s="1">
        <f>IFERROR(__xludf.DUMMYFUNCTION("""COMPUTED_VALUE"""),328.79)</f>
        <v>328.79</v>
      </c>
      <c r="E612" s="4">
        <f>IFERROR(__xludf.DUMMYFUNCTION("""COMPUTED_VALUE"""),45168.66666666667)</f>
        <v>45168.66667</v>
      </c>
      <c r="F612" s="1">
        <f>IFERROR(__xludf.DUMMYFUNCTION("""COMPUTED_VALUE"""),110.88)</f>
        <v>110.88</v>
      </c>
      <c r="G612" s="4">
        <f>IFERROR(__xludf.DUMMYFUNCTION("""COMPUTED_VALUE"""),45168.66666666667)</f>
        <v>45168.66667</v>
      </c>
      <c r="H612" s="1">
        <f>IFERROR(__xludf.DUMMYFUNCTION("""COMPUTED_VALUE"""),160.18)</f>
        <v>160.18</v>
      </c>
      <c r="I612" s="5">
        <f t="shared" si="1"/>
        <v>0.001172395417</v>
      </c>
      <c r="K612" s="5">
        <f t="shared" si="2"/>
        <v>-0.003132698683</v>
      </c>
      <c r="L612" s="5">
        <f t="shared" si="3"/>
        <v>0.002795815296</v>
      </c>
      <c r="M612" s="5">
        <f t="shared" si="4"/>
        <v>0.005743538519</v>
      </c>
      <c r="Q612" s="5"/>
    </row>
    <row r="613">
      <c r="A613" s="4">
        <f>IFERROR(__xludf.DUMMYFUNCTION("""COMPUTED_VALUE"""),45169.66666666667)</f>
        <v>45169.66667</v>
      </c>
      <c r="B613" s="1">
        <f>IFERROR(__xludf.DUMMYFUNCTION("""COMPUTED_VALUE"""),187.87)</f>
        <v>187.87</v>
      </c>
      <c r="C613" s="4">
        <f>IFERROR(__xludf.DUMMYFUNCTION("""COMPUTED_VALUE"""),45169.66666666667)</f>
        <v>45169.66667</v>
      </c>
      <c r="D613" s="1">
        <f>IFERROR(__xludf.DUMMYFUNCTION("""COMPUTED_VALUE"""),327.76)</f>
        <v>327.76</v>
      </c>
      <c r="E613" s="4">
        <f>IFERROR(__xludf.DUMMYFUNCTION("""COMPUTED_VALUE"""),45169.66666666667)</f>
        <v>45169.66667</v>
      </c>
      <c r="F613" s="1">
        <f>IFERROR(__xludf.DUMMYFUNCTION("""COMPUTED_VALUE"""),111.19)</f>
        <v>111.19</v>
      </c>
      <c r="G613" s="4">
        <f>IFERROR(__xludf.DUMMYFUNCTION("""COMPUTED_VALUE"""),45169.66666666667)</f>
        <v>45169.66667</v>
      </c>
      <c r="H613" s="1">
        <f>IFERROR(__xludf.DUMMYFUNCTION("""COMPUTED_VALUE"""),161.1)</f>
        <v>161.1</v>
      </c>
      <c r="I613" s="5">
        <f t="shared" si="1"/>
        <v>0.00846329909</v>
      </c>
      <c r="K613" s="5">
        <f t="shared" si="2"/>
        <v>0.002745911643</v>
      </c>
      <c r="L613" s="5">
        <f t="shared" si="3"/>
        <v>0.02095512186</v>
      </c>
      <c r="M613" s="5">
        <f t="shared" si="4"/>
        <v>0.01986343886</v>
      </c>
      <c r="Q613" s="5"/>
    </row>
    <row r="614">
      <c r="A614" s="4">
        <f>IFERROR(__xludf.DUMMYFUNCTION("""COMPUTED_VALUE"""),45170.66666666667)</f>
        <v>45170.66667</v>
      </c>
      <c r="B614" s="1">
        <f>IFERROR(__xludf.DUMMYFUNCTION("""COMPUTED_VALUE"""),189.46)</f>
        <v>189.46</v>
      </c>
      <c r="C614" s="4">
        <f>IFERROR(__xludf.DUMMYFUNCTION("""COMPUTED_VALUE"""),45170.66666666667)</f>
        <v>45170.66667</v>
      </c>
      <c r="D614" s="1">
        <f>IFERROR(__xludf.DUMMYFUNCTION("""COMPUTED_VALUE"""),328.66)</f>
        <v>328.66</v>
      </c>
      <c r="E614" s="4">
        <f>IFERROR(__xludf.DUMMYFUNCTION("""COMPUTED_VALUE"""),45170.66666666667)</f>
        <v>45170.66667</v>
      </c>
      <c r="F614" s="1">
        <f>IFERROR(__xludf.DUMMYFUNCTION("""COMPUTED_VALUE"""),113.52)</f>
        <v>113.52</v>
      </c>
      <c r="G614" s="4">
        <f>IFERROR(__xludf.DUMMYFUNCTION("""COMPUTED_VALUE"""),45170.66666666667)</f>
        <v>45170.66667</v>
      </c>
      <c r="H614" s="1">
        <f>IFERROR(__xludf.DUMMYFUNCTION("""COMPUTED_VALUE"""),164.3)</f>
        <v>164.3</v>
      </c>
      <c r="I614" s="5">
        <f t="shared" si="1"/>
        <v>0.001266758155</v>
      </c>
      <c r="K614" s="5">
        <f t="shared" si="2"/>
        <v>0.01487859794</v>
      </c>
      <c r="L614" s="5">
        <f t="shared" si="3"/>
        <v>0.00008809020437</v>
      </c>
      <c r="M614" s="5">
        <f t="shared" si="4"/>
        <v>0.0131466829</v>
      </c>
      <c r="Q614" s="5"/>
    </row>
    <row r="615">
      <c r="A615" s="4">
        <f>IFERROR(__xludf.DUMMYFUNCTION("""COMPUTED_VALUE"""),45174.66666666667)</f>
        <v>45174.66667</v>
      </c>
      <c r="B615" s="1">
        <f>IFERROR(__xludf.DUMMYFUNCTION("""COMPUTED_VALUE"""),189.7)</f>
        <v>189.7</v>
      </c>
      <c r="C615" s="4">
        <f>IFERROR(__xludf.DUMMYFUNCTION("""COMPUTED_VALUE"""),45174.66666666667)</f>
        <v>45174.66667</v>
      </c>
      <c r="D615" s="1">
        <f>IFERROR(__xludf.DUMMYFUNCTION("""COMPUTED_VALUE"""),333.55)</f>
        <v>333.55</v>
      </c>
      <c r="E615" s="4">
        <f>IFERROR(__xludf.DUMMYFUNCTION("""COMPUTED_VALUE"""),45174.66666666667)</f>
        <v>45174.66667</v>
      </c>
      <c r="F615" s="1">
        <f>IFERROR(__xludf.DUMMYFUNCTION("""COMPUTED_VALUE"""),113.53)</f>
        <v>113.53</v>
      </c>
      <c r="G615" s="4">
        <f>IFERROR(__xludf.DUMMYFUNCTION("""COMPUTED_VALUE"""),45174.66666666667)</f>
        <v>45174.66667</v>
      </c>
      <c r="H615" s="1">
        <f>IFERROR(__xludf.DUMMYFUNCTION("""COMPUTED_VALUE"""),166.46)</f>
        <v>166.46</v>
      </c>
      <c r="I615" s="5">
        <f t="shared" si="1"/>
        <v>-0.03579335793</v>
      </c>
      <c r="K615" s="5">
        <f t="shared" si="2"/>
        <v>-0.002008694349</v>
      </c>
      <c r="L615" s="5">
        <f t="shared" si="3"/>
        <v>0.008632079627</v>
      </c>
      <c r="M615" s="5">
        <f t="shared" si="4"/>
        <v>0.00102126637</v>
      </c>
      <c r="Q615" s="5"/>
    </row>
    <row r="616">
      <c r="A616" s="4">
        <f>IFERROR(__xludf.DUMMYFUNCTION("""COMPUTED_VALUE"""),45175.66666666667)</f>
        <v>45175.66667</v>
      </c>
      <c r="B616" s="1">
        <f>IFERROR(__xludf.DUMMYFUNCTION("""COMPUTED_VALUE"""),182.91)</f>
        <v>182.91</v>
      </c>
      <c r="C616" s="4">
        <f>IFERROR(__xludf.DUMMYFUNCTION("""COMPUTED_VALUE"""),45175.66666666667)</f>
        <v>45175.66667</v>
      </c>
      <c r="D616" s="1">
        <f>IFERROR(__xludf.DUMMYFUNCTION("""COMPUTED_VALUE"""),332.88)</f>
        <v>332.88</v>
      </c>
      <c r="E616" s="4">
        <f>IFERROR(__xludf.DUMMYFUNCTION("""COMPUTED_VALUE"""),45175.66666666667)</f>
        <v>45175.66667</v>
      </c>
      <c r="F616" s="1">
        <f>IFERROR(__xludf.DUMMYFUNCTION("""COMPUTED_VALUE"""),114.51)</f>
        <v>114.51</v>
      </c>
      <c r="G616" s="4">
        <f>IFERROR(__xludf.DUMMYFUNCTION("""COMPUTED_VALUE"""),45175.66666666667)</f>
        <v>45175.66667</v>
      </c>
      <c r="H616" s="1">
        <f>IFERROR(__xludf.DUMMYFUNCTION("""COMPUTED_VALUE"""),166.63)</f>
        <v>166.63</v>
      </c>
      <c r="I616" s="5">
        <f t="shared" si="1"/>
        <v>-0.02924935761</v>
      </c>
      <c r="K616" s="5">
        <f t="shared" si="2"/>
        <v>-0.008922134102</v>
      </c>
      <c r="L616" s="5">
        <f t="shared" si="3"/>
        <v>-0.004890402585</v>
      </c>
      <c r="M616" s="5">
        <f t="shared" si="4"/>
        <v>0.0000600132029</v>
      </c>
      <c r="Q616" s="5"/>
    </row>
    <row r="617">
      <c r="A617" s="4">
        <f>IFERROR(__xludf.DUMMYFUNCTION("""COMPUTED_VALUE"""),45176.66666666667)</f>
        <v>45176.66667</v>
      </c>
      <c r="B617" s="1">
        <f>IFERROR(__xludf.DUMMYFUNCTION("""COMPUTED_VALUE"""),177.56)</f>
        <v>177.56</v>
      </c>
      <c r="C617" s="4">
        <f>IFERROR(__xludf.DUMMYFUNCTION("""COMPUTED_VALUE"""),45176.66666666667)</f>
        <v>45176.66667</v>
      </c>
      <c r="D617" s="1">
        <f>IFERROR(__xludf.DUMMYFUNCTION("""COMPUTED_VALUE"""),329.91)</f>
        <v>329.91</v>
      </c>
      <c r="E617" s="4">
        <f>IFERROR(__xludf.DUMMYFUNCTION("""COMPUTED_VALUE"""),45176.66666666667)</f>
        <v>45176.66667</v>
      </c>
      <c r="F617" s="1">
        <f>IFERROR(__xludf.DUMMYFUNCTION("""COMPUTED_VALUE"""),113.95)</f>
        <v>113.95</v>
      </c>
      <c r="G617" s="4">
        <f>IFERROR(__xludf.DUMMYFUNCTION("""COMPUTED_VALUE"""),45176.66666666667)</f>
        <v>45176.66667</v>
      </c>
      <c r="H617" s="1">
        <f>IFERROR(__xludf.DUMMYFUNCTION("""COMPUTED_VALUE"""),166.64)</f>
        <v>166.64</v>
      </c>
      <c r="I617" s="5">
        <f t="shared" si="1"/>
        <v>0.003491777427</v>
      </c>
      <c r="K617" s="5">
        <f t="shared" si="2"/>
        <v>0.0132157255</v>
      </c>
      <c r="L617" s="5">
        <f t="shared" si="3"/>
        <v>0.01456779289</v>
      </c>
      <c r="M617" s="5">
        <f t="shared" si="4"/>
        <v>0.003420547288</v>
      </c>
      <c r="Q617" s="5"/>
    </row>
    <row r="618">
      <c r="A618" s="4">
        <f>IFERROR(__xludf.DUMMYFUNCTION("""COMPUTED_VALUE"""),45177.66666666667)</f>
        <v>45177.66667</v>
      </c>
      <c r="B618" s="1">
        <f>IFERROR(__xludf.DUMMYFUNCTION("""COMPUTED_VALUE"""),178.18)</f>
        <v>178.18</v>
      </c>
      <c r="C618" s="4">
        <f>IFERROR(__xludf.DUMMYFUNCTION("""COMPUTED_VALUE"""),45177.66666666667)</f>
        <v>45177.66667</v>
      </c>
      <c r="D618" s="1">
        <f>IFERROR(__xludf.DUMMYFUNCTION("""COMPUTED_VALUE"""),334.27)</f>
        <v>334.27</v>
      </c>
      <c r="E618" s="4">
        <f>IFERROR(__xludf.DUMMYFUNCTION("""COMPUTED_VALUE"""),45177.66666666667)</f>
        <v>45177.66667</v>
      </c>
      <c r="F618" s="1">
        <f>IFERROR(__xludf.DUMMYFUNCTION("""COMPUTED_VALUE"""),115.61)</f>
        <v>115.61</v>
      </c>
      <c r="G618" s="4">
        <f>IFERROR(__xludf.DUMMYFUNCTION("""COMPUTED_VALUE"""),45177.66666666667)</f>
        <v>45177.66667</v>
      </c>
      <c r="H618" s="1">
        <f>IFERROR(__xludf.DUMMYFUNCTION("""COMPUTED_VALUE"""),167.21)</f>
        <v>167.21</v>
      </c>
      <c r="I618" s="5">
        <f t="shared" si="1"/>
        <v>0.006622516556</v>
      </c>
      <c r="K618" s="5">
        <f t="shared" si="2"/>
        <v>0.01097914859</v>
      </c>
      <c r="L618" s="5">
        <f t="shared" si="3"/>
        <v>-0.01254216763</v>
      </c>
      <c r="M618" s="5">
        <f t="shared" si="4"/>
        <v>-0.02063273728</v>
      </c>
      <c r="Q618" s="5"/>
    </row>
    <row r="619">
      <c r="A619" s="4">
        <f>IFERROR(__xludf.DUMMYFUNCTION("""COMPUTED_VALUE"""),45180.66666666667)</f>
        <v>45180.66667</v>
      </c>
      <c r="B619" s="1">
        <f>IFERROR(__xludf.DUMMYFUNCTION("""COMPUTED_VALUE"""),179.36)</f>
        <v>179.36</v>
      </c>
      <c r="C619" s="4">
        <f>IFERROR(__xludf.DUMMYFUNCTION("""COMPUTED_VALUE"""),45180.66666666667)</f>
        <v>45180.66667</v>
      </c>
      <c r="D619" s="1">
        <f>IFERROR(__xludf.DUMMYFUNCTION("""COMPUTED_VALUE"""),337.94)</f>
        <v>337.94</v>
      </c>
      <c r="E619" s="4">
        <f>IFERROR(__xludf.DUMMYFUNCTION("""COMPUTED_VALUE"""),45180.66666666667)</f>
        <v>45180.66667</v>
      </c>
      <c r="F619" s="1">
        <f>IFERROR(__xludf.DUMMYFUNCTION("""COMPUTED_VALUE"""),114.16)</f>
        <v>114.16</v>
      </c>
      <c r="G619" s="4">
        <f>IFERROR(__xludf.DUMMYFUNCTION("""COMPUTED_VALUE"""),45180.66666666667)</f>
        <v>45180.66667</v>
      </c>
      <c r="H619" s="1">
        <f>IFERROR(__xludf.DUMMYFUNCTION("""COMPUTED_VALUE"""),163.76)</f>
        <v>163.76</v>
      </c>
      <c r="I619" s="5">
        <f t="shared" si="1"/>
        <v>-0.01706066012</v>
      </c>
      <c r="K619" s="5">
        <f t="shared" si="2"/>
        <v>-0.01825767888</v>
      </c>
      <c r="L619" s="5">
        <f t="shared" si="3"/>
        <v>0.02916958655</v>
      </c>
      <c r="M619" s="5">
        <f t="shared" si="4"/>
        <v>0.01862481681</v>
      </c>
      <c r="Q619" s="5"/>
    </row>
    <row r="620">
      <c r="A620" s="4">
        <f>IFERROR(__xludf.DUMMYFUNCTION("""COMPUTED_VALUE"""),45181.66666666667)</f>
        <v>45181.66667</v>
      </c>
      <c r="B620" s="1">
        <f>IFERROR(__xludf.DUMMYFUNCTION("""COMPUTED_VALUE"""),176.3)</f>
        <v>176.3</v>
      </c>
      <c r="C620" s="4">
        <f>IFERROR(__xludf.DUMMYFUNCTION("""COMPUTED_VALUE"""),45181.66666666667)</f>
        <v>45181.66667</v>
      </c>
      <c r="D620" s="1">
        <f>IFERROR(__xludf.DUMMYFUNCTION("""COMPUTED_VALUE"""),331.77)</f>
        <v>331.77</v>
      </c>
      <c r="E620" s="4">
        <f>IFERROR(__xludf.DUMMYFUNCTION("""COMPUTED_VALUE"""),45181.66666666667)</f>
        <v>45181.66667</v>
      </c>
      <c r="F620" s="1">
        <f>IFERROR(__xludf.DUMMYFUNCTION("""COMPUTED_VALUE"""),117.49)</f>
        <v>117.49</v>
      </c>
      <c r="G620" s="4">
        <f>IFERROR(__xludf.DUMMYFUNCTION("""COMPUTED_VALUE"""),45181.66666666667)</f>
        <v>45181.66667</v>
      </c>
      <c r="H620" s="1">
        <f>IFERROR(__xludf.DUMMYFUNCTION("""COMPUTED_VALUE"""),166.81)</f>
        <v>166.81</v>
      </c>
      <c r="I620" s="5">
        <f t="shared" si="1"/>
        <v>-0.01185479297</v>
      </c>
      <c r="K620" s="5">
        <f t="shared" si="2"/>
        <v>0.01293064472</v>
      </c>
      <c r="L620" s="5">
        <f t="shared" si="3"/>
        <v>-0.008936930803</v>
      </c>
      <c r="M620" s="5">
        <f t="shared" si="4"/>
        <v>-0.003656855105</v>
      </c>
      <c r="Q620" s="5"/>
    </row>
    <row r="621">
      <c r="A621" s="4">
        <f>IFERROR(__xludf.DUMMYFUNCTION("""COMPUTED_VALUE"""),45182.66666666667)</f>
        <v>45182.66667</v>
      </c>
      <c r="B621" s="1">
        <f>IFERROR(__xludf.DUMMYFUNCTION("""COMPUTED_VALUE"""),174.21)</f>
        <v>174.21</v>
      </c>
      <c r="C621" s="4">
        <f>IFERROR(__xludf.DUMMYFUNCTION("""COMPUTED_VALUE"""),45182.66666666667)</f>
        <v>45182.66667</v>
      </c>
      <c r="D621" s="1">
        <f>IFERROR(__xludf.DUMMYFUNCTION("""COMPUTED_VALUE"""),336.06)</f>
        <v>336.06</v>
      </c>
      <c r="E621" s="4">
        <f>IFERROR(__xludf.DUMMYFUNCTION("""COMPUTED_VALUE"""),45182.66666666667)</f>
        <v>45182.66667</v>
      </c>
      <c r="F621" s="1">
        <f>IFERROR(__xludf.DUMMYFUNCTION("""COMPUTED_VALUE"""),116.44)</f>
        <v>116.44</v>
      </c>
      <c r="G621" s="4">
        <f>IFERROR(__xludf.DUMMYFUNCTION("""COMPUTED_VALUE"""),45182.66666666667)</f>
        <v>45182.66667</v>
      </c>
      <c r="H621" s="1">
        <f>IFERROR(__xludf.DUMMYFUNCTION("""COMPUTED_VALUE"""),166.2)</f>
        <v>166.2</v>
      </c>
      <c r="I621" s="5">
        <f t="shared" si="1"/>
        <v>0.008782503875</v>
      </c>
      <c r="K621" s="5">
        <f t="shared" si="2"/>
        <v>0.007855740046</v>
      </c>
      <c r="L621" s="5">
        <f t="shared" si="3"/>
        <v>0.01786327722</v>
      </c>
      <c r="M621" s="5">
        <f t="shared" si="4"/>
        <v>0.006197352587</v>
      </c>
      <c r="Q621" s="5"/>
    </row>
    <row r="622">
      <c r="A622" s="4">
        <f>IFERROR(__xludf.DUMMYFUNCTION("""COMPUTED_VALUE"""),45183.66666666667)</f>
        <v>45183.66667</v>
      </c>
      <c r="B622" s="1">
        <f>IFERROR(__xludf.DUMMYFUNCTION("""COMPUTED_VALUE"""),175.74)</f>
        <v>175.74</v>
      </c>
      <c r="C622" s="4">
        <f>IFERROR(__xludf.DUMMYFUNCTION("""COMPUTED_VALUE"""),45183.66666666667)</f>
        <v>45183.66667</v>
      </c>
      <c r="D622" s="1">
        <f>IFERROR(__xludf.DUMMYFUNCTION("""COMPUTED_VALUE"""),338.7)</f>
        <v>338.7</v>
      </c>
      <c r="E622" s="4">
        <f>IFERROR(__xludf.DUMMYFUNCTION("""COMPUTED_VALUE"""),45183.66666666667)</f>
        <v>45183.66667</v>
      </c>
      <c r="F622" s="1">
        <f>IFERROR(__xludf.DUMMYFUNCTION("""COMPUTED_VALUE"""),118.52)</f>
        <v>118.52</v>
      </c>
      <c r="G622" s="4">
        <f>IFERROR(__xludf.DUMMYFUNCTION("""COMPUTED_VALUE"""),45183.66666666667)</f>
        <v>45183.66667</v>
      </c>
      <c r="H622" s="1">
        <f>IFERROR(__xludf.DUMMYFUNCTION("""COMPUTED_VALUE"""),167.23)</f>
        <v>167.23</v>
      </c>
      <c r="I622" s="5">
        <f t="shared" si="1"/>
        <v>-0.004153863662</v>
      </c>
      <c r="K622" s="5">
        <f t="shared" si="2"/>
        <v>-0.02503690582</v>
      </c>
      <c r="L622" s="5">
        <f t="shared" si="3"/>
        <v>-0.01535605805</v>
      </c>
      <c r="M622" s="5">
        <f t="shared" si="4"/>
        <v>-0.00436524547</v>
      </c>
      <c r="Q622" s="5"/>
    </row>
    <row r="623">
      <c r="A623" s="4">
        <f>IFERROR(__xludf.DUMMYFUNCTION("""COMPUTED_VALUE"""),45184.66666666667)</f>
        <v>45184.66667</v>
      </c>
      <c r="B623" s="1">
        <f>IFERROR(__xludf.DUMMYFUNCTION("""COMPUTED_VALUE"""),175.01)</f>
        <v>175.01</v>
      </c>
      <c r="C623" s="4">
        <f>IFERROR(__xludf.DUMMYFUNCTION("""COMPUTED_VALUE"""),45184.66666666667)</f>
        <v>45184.66667</v>
      </c>
      <c r="D623" s="1">
        <f>IFERROR(__xludf.DUMMYFUNCTION("""COMPUTED_VALUE"""),330.22)</f>
        <v>330.22</v>
      </c>
      <c r="E623" s="4">
        <f>IFERROR(__xludf.DUMMYFUNCTION("""COMPUTED_VALUE"""),45184.66666666667)</f>
        <v>45184.66667</v>
      </c>
      <c r="F623" s="1">
        <f>IFERROR(__xludf.DUMMYFUNCTION("""COMPUTED_VALUE"""),116.7)</f>
        <v>116.7</v>
      </c>
      <c r="G623" s="4">
        <f>IFERROR(__xludf.DUMMYFUNCTION("""COMPUTED_VALUE"""),45184.66666666667)</f>
        <v>45184.66667</v>
      </c>
      <c r="H623" s="1">
        <f>IFERROR(__xludf.DUMMYFUNCTION("""COMPUTED_VALUE"""),166.5)</f>
        <v>166.5</v>
      </c>
      <c r="I623" s="5">
        <f t="shared" si="1"/>
        <v>0.01691331924</v>
      </c>
      <c r="K623" s="5">
        <f t="shared" si="2"/>
        <v>-0.003512809642</v>
      </c>
      <c r="L623" s="5">
        <f t="shared" si="3"/>
        <v>0.008054841474</v>
      </c>
      <c r="M623" s="5">
        <f t="shared" si="4"/>
        <v>0.004324324324</v>
      </c>
      <c r="Q623" s="5"/>
    </row>
    <row r="624">
      <c r="A624" s="4">
        <f>IFERROR(__xludf.DUMMYFUNCTION("""COMPUTED_VALUE"""),45187.66666666667)</f>
        <v>45187.66667</v>
      </c>
      <c r="B624" s="1">
        <f>IFERROR(__xludf.DUMMYFUNCTION("""COMPUTED_VALUE"""),177.97)</f>
        <v>177.97</v>
      </c>
      <c r="C624" s="4">
        <f>IFERROR(__xludf.DUMMYFUNCTION("""COMPUTED_VALUE"""),45187.66666666667)</f>
        <v>45187.66667</v>
      </c>
      <c r="D624" s="1">
        <f>IFERROR(__xludf.DUMMYFUNCTION("""COMPUTED_VALUE"""),329.06)</f>
        <v>329.06</v>
      </c>
      <c r="E624" s="4">
        <f>IFERROR(__xludf.DUMMYFUNCTION("""COMPUTED_VALUE"""),45187.66666666667)</f>
        <v>45187.66667</v>
      </c>
      <c r="F624" s="1">
        <f>IFERROR(__xludf.DUMMYFUNCTION("""COMPUTED_VALUE"""),117.64)</f>
        <v>117.64</v>
      </c>
      <c r="G624" s="4">
        <f>IFERROR(__xludf.DUMMYFUNCTION("""COMPUTED_VALUE"""),45187.66666666667)</f>
        <v>45187.66667</v>
      </c>
      <c r="H624" s="1">
        <f>IFERROR(__xludf.DUMMYFUNCTION("""COMPUTED_VALUE"""),167.22)</f>
        <v>167.22</v>
      </c>
      <c r="I624" s="5">
        <f t="shared" si="1"/>
        <v>0.006180816992</v>
      </c>
      <c r="K624" s="5">
        <f t="shared" si="2"/>
        <v>-0.001245973379</v>
      </c>
      <c r="L624" s="5">
        <f t="shared" si="3"/>
        <v>-0.002635158109</v>
      </c>
      <c r="M624" s="5">
        <f t="shared" si="4"/>
        <v>-0.0001196029183</v>
      </c>
      <c r="Q624" s="5"/>
    </row>
    <row r="625">
      <c r="A625" s="4">
        <f>IFERROR(__xludf.DUMMYFUNCTION("""COMPUTED_VALUE"""),45188.66666666667)</f>
        <v>45188.66667</v>
      </c>
      <c r="B625" s="1">
        <f>IFERROR(__xludf.DUMMYFUNCTION("""COMPUTED_VALUE"""),179.07)</f>
        <v>179.07</v>
      </c>
      <c r="C625" s="4">
        <f>IFERROR(__xludf.DUMMYFUNCTION("""COMPUTED_VALUE"""),45188.66666666667)</f>
        <v>45188.66667</v>
      </c>
      <c r="D625" s="1">
        <f>IFERROR(__xludf.DUMMYFUNCTION("""COMPUTED_VALUE"""),328.65)</f>
        <v>328.65</v>
      </c>
      <c r="E625" s="4">
        <f>IFERROR(__xludf.DUMMYFUNCTION("""COMPUTED_VALUE"""),45188.66666666667)</f>
        <v>45188.66667</v>
      </c>
      <c r="F625" s="1">
        <f>IFERROR(__xludf.DUMMYFUNCTION("""COMPUTED_VALUE"""),117.33)</f>
        <v>117.33</v>
      </c>
      <c r="G625" s="4">
        <f>IFERROR(__xludf.DUMMYFUNCTION("""COMPUTED_VALUE"""),45188.66666666667)</f>
        <v>45188.66667</v>
      </c>
      <c r="H625" s="1">
        <f>IFERROR(__xludf.DUMMYFUNCTION("""COMPUTED_VALUE"""),167.2)</f>
        <v>167.2</v>
      </c>
      <c r="I625" s="5">
        <f t="shared" si="1"/>
        <v>-0.01999218183</v>
      </c>
      <c r="K625" s="5">
        <f t="shared" si="2"/>
        <v>-0.0239768751</v>
      </c>
      <c r="L625" s="5">
        <f t="shared" si="3"/>
        <v>-0.007926361544</v>
      </c>
      <c r="M625" s="5">
        <f t="shared" si="4"/>
        <v>-0.003050239234</v>
      </c>
      <c r="Q625" s="5"/>
    </row>
    <row r="626">
      <c r="A626" s="4">
        <f>IFERROR(__xludf.DUMMYFUNCTION("""COMPUTED_VALUE"""),45189.66666666667)</f>
        <v>45189.66667</v>
      </c>
      <c r="B626" s="1">
        <f>IFERROR(__xludf.DUMMYFUNCTION("""COMPUTED_VALUE"""),175.49)</f>
        <v>175.49</v>
      </c>
      <c r="C626" s="4">
        <f>IFERROR(__xludf.DUMMYFUNCTION("""COMPUTED_VALUE"""),45189.66666666667)</f>
        <v>45189.66667</v>
      </c>
      <c r="D626" s="1">
        <f>IFERROR(__xludf.DUMMYFUNCTION("""COMPUTED_VALUE"""),320.77)</f>
        <v>320.77</v>
      </c>
      <c r="E626" s="4">
        <f>IFERROR(__xludf.DUMMYFUNCTION("""COMPUTED_VALUE"""),45189.66666666667)</f>
        <v>45189.66667</v>
      </c>
      <c r="F626" s="1">
        <f>IFERROR(__xludf.DUMMYFUNCTION("""COMPUTED_VALUE"""),116.4)</f>
        <v>116.4</v>
      </c>
      <c r="G626" s="4">
        <f>IFERROR(__xludf.DUMMYFUNCTION("""COMPUTED_VALUE"""),45189.66666666667)</f>
        <v>45189.66667</v>
      </c>
      <c r="H626" s="1">
        <f>IFERROR(__xludf.DUMMYFUNCTION("""COMPUTED_VALUE"""),166.69)</f>
        <v>166.69</v>
      </c>
      <c r="I626" s="5">
        <f t="shared" si="1"/>
        <v>-0.008889395407</v>
      </c>
      <c r="K626" s="5">
        <f t="shared" si="2"/>
        <v>-0.003865698164</v>
      </c>
      <c r="L626" s="5">
        <f t="shared" si="3"/>
        <v>-0.01408934708</v>
      </c>
      <c r="M626" s="5">
        <f t="shared" si="4"/>
        <v>-0.008998740176</v>
      </c>
      <c r="Q626" s="5"/>
    </row>
    <row r="627">
      <c r="A627" s="4">
        <f>IFERROR(__xludf.DUMMYFUNCTION("""COMPUTED_VALUE"""),45190.66666666667)</f>
        <v>45190.66667</v>
      </c>
      <c r="B627" s="1">
        <f>IFERROR(__xludf.DUMMYFUNCTION("""COMPUTED_VALUE"""),173.93)</f>
        <v>173.93</v>
      </c>
      <c r="C627" s="4">
        <f>IFERROR(__xludf.DUMMYFUNCTION("""COMPUTED_VALUE"""),45190.66666666667)</f>
        <v>45190.66667</v>
      </c>
      <c r="D627" s="1">
        <f>IFERROR(__xludf.DUMMYFUNCTION("""COMPUTED_VALUE"""),319.53)</f>
        <v>319.53</v>
      </c>
      <c r="E627" s="4">
        <f>IFERROR(__xludf.DUMMYFUNCTION("""COMPUTED_VALUE"""),45190.66666666667)</f>
        <v>45190.66667</v>
      </c>
      <c r="F627" s="1">
        <f>IFERROR(__xludf.DUMMYFUNCTION("""COMPUTED_VALUE"""),114.76)</f>
        <v>114.76</v>
      </c>
      <c r="G627" s="4">
        <f>IFERROR(__xludf.DUMMYFUNCTION("""COMPUTED_VALUE"""),45190.66666666667)</f>
        <v>45190.66667</v>
      </c>
      <c r="H627" s="1">
        <f>IFERROR(__xludf.DUMMYFUNCTION("""COMPUTED_VALUE"""),165.19)</f>
        <v>165.19</v>
      </c>
      <c r="I627" s="5">
        <f t="shared" si="1"/>
        <v>0.00494451791</v>
      </c>
      <c r="K627" s="5">
        <f t="shared" si="2"/>
        <v>-0.007886583419</v>
      </c>
      <c r="L627" s="5">
        <f t="shared" si="3"/>
        <v>0.001568490763</v>
      </c>
      <c r="M627" s="5">
        <f t="shared" si="4"/>
        <v>0.006598462377</v>
      </c>
      <c r="Q627" s="5"/>
    </row>
    <row r="628">
      <c r="A628" s="4">
        <f>IFERROR(__xludf.DUMMYFUNCTION("""COMPUTED_VALUE"""),45191.66666666667)</f>
        <v>45191.66667</v>
      </c>
      <c r="B628" s="1">
        <f>IFERROR(__xludf.DUMMYFUNCTION("""COMPUTED_VALUE"""),174.79)</f>
        <v>174.79</v>
      </c>
      <c r="C628" s="4">
        <f>IFERROR(__xludf.DUMMYFUNCTION("""COMPUTED_VALUE"""),45191.66666666667)</f>
        <v>45191.66667</v>
      </c>
      <c r="D628" s="1">
        <f>IFERROR(__xludf.DUMMYFUNCTION("""COMPUTED_VALUE"""),317.01)</f>
        <v>317.01</v>
      </c>
      <c r="E628" s="4">
        <f>IFERROR(__xludf.DUMMYFUNCTION("""COMPUTED_VALUE"""),45191.66666666667)</f>
        <v>45191.66667</v>
      </c>
      <c r="F628" s="1">
        <f>IFERROR(__xludf.DUMMYFUNCTION("""COMPUTED_VALUE"""),114.94)</f>
        <v>114.94</v>
      </c>
      <c r="G628" s="4">
        <f>IFERROR(__xludf.DUMMYFUNCTION("""COMPUTED_VALUE"""),45191.66666666667)</f>
        <v>45191.66667</v>
      </c>
      <c r="H628" s="1">
        <f>IFERROR(__xludf.DUMMYFUNCTION("""COMPUTED_VALUE"""),166.28)</f>
        <v>166.28</v>
      </c>
      <c r="I628" s="5">
        <f t="shared" si="1"/>
        <v>0.007380284913</v>
      </c>
      <c r="K628" s="5">
        <f t="shared" si="2"/>
        <v>0.00167187155</v>
      </c>
      <c r="L628" s="5">
        <f t="shared" si="3"/>
        <v>0.01122324691</v>
      </c>
      <c r="M628" s="5">
        <f t="shared" si="4"/>
        <v>0.01461390426</v>
      </c>
      <c r="Q628" s="5"/>
    </row>
    <row r="629">
      <c r="A629" s="4">
        <f>IFERROR(__xludf.DUMMYFUNCTION("""COMPUTED_VALUE"""),45194.66666666667)</f>
        <v>45194.66667</v>
      </c>
      <c r="B629" s="1">
        <f>IFERROR(__xludf.DUMMYFUNCTION("""COMPUTED_VALUE"""),176.08)</f>
        <v>176.08</v>
      </c>
      <c r="C629" s="4">
        <f>IFERROR(__xludf.DUMMYFUNCTION("""COMPUTED_VALUE"""),45194.66666666667)</f>
        <v>45194.66667</v>
      </c>
      <c r="D629" s="1">
        <f>IFERROR(__xludf.DUMMYFUNCTION("""COMPUTED_VALUE"""),317.54)</f>
        <v>317.54</v>
      </c>
      <c r="E629" s="4">
        <f>IFERROR(__xludf.DUMMYFUNCTION("""COMPUTED_VALUE"""),45194.66666666667)</f>
        <v>45194.66667</v>
      </c>
      <c r="F629" s="1">
        <f>IFERROR(__xludf.DUMMYFUNCTION("""COMPUTED_VALUE"""),116.23)</f>
        <v>116.23</v>
      </c>
      <c r="G629" s="4">
        <f>IFERROR(__xludf.DUMMYFUNCTION("""COMPUTED_VALUE"""),45194.66666666667)</f>
        <v>45194.66667</v>
      </c>
      <c r="H629" s="1">
        <f>IFERROR(__xludf.DUMMYFUNCTION("""COMPUTED_VALUE"""),168.71)</f>
        <v>168.71</v>
      </c>
      <c r="I629" s="5">
        <f t="shared" si="1"/>
        <v>-0.02339845525</v>
      </c>
      <c r="K629" s="5">
        <f t="shared" si="2"/>
        <v>-0.01700573156</v>
      </c>
      <c r="L629" s="5">
        <f t="shared" si="3"/>
        <v>0.001548653532</v>
      </c>
      <c r="M629" s="5">
        <f t="shared" si="4"/>
        <v>-0.00539387114</v>
      </c>
      <c r="Q629" s="5"/>
    </row>
    <row r="630">
      <c r="A630" s="4">
        <f>IFERROR(__xludf.DUMMYFUNCTION("""COMPUTED_VALUE"""),45195.66666666667)</f>
        <v>45195.66667</v>
      </c>
      <c r="B630" s="1">
        <f>IFERROR(__xludf.DUMMYFUNCTION("""COMPUTED_VALUE"""),171.96)</f>
        <v>171.96</v>
      </c>
      <c r="C630" s="4">
        <f>IFERROR(__xludf.DUMMYFUNCTION("""COMPUTED_VALUE"""),45195.66666666667)</f>
        <v>45195.66667</v>
      </c>
      <c r="D630" s="1">
        <f>IFERROR(__xludf.DUMMYFUNCTION("""COMPUTED_VALUE"""),312.14)</f>
        <v>312.14</v>
      </c>
      <c r="E630" s="4">
        <f>IFERROR(__xludf.DUMMYFUNCTION("""COMPUTED_VALUE"""),45195.66666666667)</f>
        <v>45195.66667</v>
      </c>
      <c r="F630" s="1">
        <f>IFERROR(__xludf.DUMMYFUNCTION("""COMPUTED_VALUE"""),116.41)</f>
        <v>116.41</v>
      </c>
      <c r="G630" s="4">
        <f>IFERROR(__xludf.DUMMYFUNCTION("""COMPUTED_VALUE"""),45195.66666666667)</f>
        <v>45195.66667</v>
      </c>
      <c r="H630" s="1">
        <f>IFERROR(__xludf.DUMMYFUNCTION("""COMPUTED_VALUE"""),167.8)</f>
        <v>167.8</v>
      </c>
      <c r="I630" s="5">
        <f t="shared" si="1"/>
        <v>-0.008897418004</v>
      </c>
      <c r="K630" s="5">
        <f t="shared" si="2"/>
        <v>0.002082398924</v>
      </c>
      <c r="L630" s="5">
        <f t="shared" si="3"/>
        <v>0.03255734043</v>
      </c>
      <c r="M630" s="5">
        <f t="shared" si="4"/>
        <v>0.01930870083</v>
      </c>
      <c r="Q630" s="5"/>
    </row>
    <row r="631">
      <c r="A631" s="4">
        <f>IFERROR(__xludf.DUMMYFUNCTION("""COMPUTED_VALUE"""),45196.66666666667)</f>
        <v>45196.66667</v>
      </c>
      <c r="B631" s="1">
        <f>IFERROR(__xludf.DUMMYFUNCTION("""COMPUTED_VALUE"""),170.43)</f>
        <v>170.43</v>
      </c>
      <c r="C631" s="4">
        <f>IFERROR(__xludf.DUMMYFUNCTION("""COMPUTED_VALUE"""),45196.66666666667)</f>
        <v>45196.66667</v>
      </c>
      <c r="D631" s="1">
        <f>IFERROR(__xludf.DUMMYFUNCTION("""COMPUTED_VALUE"""),312.79)</f>
        <v>312.79</v>
      </c>
      <c r="E631" s="4">
        <f>IFERROR(__xludf.DUMMYFUNCTION("""COMPUTED_VALUE"""),45196.66666666667)</f>
        <v>45196.66667</v>
      </c>
      <c r="F631" s="1">
        <f>IFERROR(__xludf.DUMMYFUNCTION("""COMPUTED_VALUE"""),120.2)</f>
        <v>120.2</v>
      </c>
      <c r="G631" s="4">
        <f>IFERROR(__xludf.DUMMYFUNCTION("""COMPUTED_VALUE"""),45196.66666666667)</f>
        <v>45196.66667</v>
      </c>
      <c r="H631" s="1">
        <f>IFERROR(__xludf.DUMMYFUNCTION("""COMPUTED_VALUE"""),171.04)</f>
        <v>171.04</v>
      </c>
      <c r="I631" s="5">
        <f t="shared" si="1"/>
        <v>0.001525553013</v>
      </c>
      <c r="K631" s="5">
        <f t="shared" si="2"/>
        <v>0.00271747818</v>
      </c>
      <c r="L631" s="5">
        <f t="shared" si="3"/>
        <v>-0.006073211314</v>
      </c>
      <c r="M631" s="5">
        <f t="shared" si="4"/>
        <v>-0.002630963517</v>
      </c>
      <c r="Q631" s="5"/>
    </row>
    <row r="632">
      <c r="A632" s="4">
        <f>IFERROR(__xludf.DUMMYFUNCTION("""COMPUTED_VALUE"""),45197.66666666667)</f>
        <v>45197.66667</v>
      </c>
      <c r="B632" s="1">
        <f>IFERROR(__xludf.DUMMYFUNCTION("""COMPUTED_VALUE"""),170.69)</f>
        <v>170.69</v>
      </c>
      <c r="C632" s="4">
        <f>IFERROR(__xludf.DUMMYFUNCTION("""COMPUTED_VALUE"""),45197.66666666667)</f>
        <v>45197.66667</v>
      </c>
      <c r="D632" s="1">
        <f>IFERROR(__xludf.DUMMYFUNCTION("""COMPUTED_VALUE"""),313.64)</f>
        <v>313.64</v>
      </c>
      <c r="E632" s="4">
        <f>IFERROR(__xludf.DUMMYFUNCTION("""COMPUTED_VALUE"""),45197.66666666667)</f>
        <v>45197.66667</v>
      </c>
      <c r="F632" s="1">
        <f>IFERROR(__xludf.DUMMYFUNCTION("""COMPUTED_VALUE"""),119.47)</f>
        <v>119.47</v>
      </c>
      <c r="G632" s="4">
        <f>IFERROR(__xludf.DUMMYFUNCTION("""COMPUTED_VALUE"""),45197.66666666667)</f>
        <v>45197.66667</v>
      </c>
      <c r="H632" s="1">
        <f>IFERROR(__xludf.DUMMYFUNCTION("""COMPUTED_VALUE"""),170.59)</f>
        <v>170.59</v>
      </c>
      <c r="I632" s="5">
        <f t="shared" si="1"/>
        <v>0.003046458492</v>
      </c>
      <c r="K632" s="5">
        <f t="shared" si="2"/>
        <v>0.006727458232</v>
      </c>
      <c r="L632" s="5">
        <f t="shared" si="3"/>
        <v>-0.0158198711</v>
      </c>
      <c r="M632" s="5">
        <f t="shared" si="4"/>
        <v>-0.0115481564</v>
      </c>
      <c r="Q632" s="5"/>
    </row>
    <row r="633">
      <c r="A633" s="4">
        <f>IFERROR(__xludf.DUMMYFUNCTION("""COMPUTED_VALUE"""),45198.66666666667)</f>
        <v>45198.66667</v>
      </c>
      <c r="B633" s="1">
        <f>IFERROR(__xludf.DUMMYFUNCTION("""COMPUTED_VALUE"""),171.21)</f>
        <v>171.21</v>
      </c>
      <c r="C633" s="4">
        <f>IFERROR(__xludf.DUMMYFUNCTION("""COMPUTED_VALUE"""),45198.66666666667)</f>
        <v>45198.66667</v>
      </c>
      <c r="D633" s="1">
        <f>IFERROR(__xludf.DUMMYFUNCTION("""COMPUTED_VALUE"""),315.75)</f>
        <v>315.75</v>
      </c>
      <c r="E633" s="4">
        <f>IFERROR(__xludf.DUMMYFUNCTION("""COMPUTED_VALUE"""),45198.66666666667)</f>
        <v>45198.66667</v>
      </c>
      <c r="F633" s="1">
        <f>IFERROR(__xludf.DUMMYFUNCTION("""COMPUTED_VALUE"""),117.58)</f>
        <v>117.58</v>
      </c>
      <c r="G633" s="4">
        <f>IFERROR(__xludf.DUMMYFUNCTION("""COMPUTED_VALUE"""),45198.66666666667)</f>
        <v>45198.66667</v>
      </c>
      <c r="H633" s="1">
        <f>IFERROR(__xludf.DUMMYFUNCTION("""COMPUTED_VALUE"""),168.62)</f>
        <v>168.62</v>
      </c>
      <c r="I633" s="5">
        <f t="shared" si="1"/>
        <v>0.01483558203</v>
      </c>
      <c r="K633" s="5">
        <f t="shared" si="2"/>
        <v>0.01916072842</v>
      </c>
      <c r="L633" s="5">
        <f t="shared" si="3"/>
        <v>-0.01658445314</v>
      </c>
      <c r="M633" s="5">
        <f t="shared" si="4"/>
        <v>-0.01233542877</v>
      </c>
      <c r="Q633" s="5"/>
    </row>
    <row r="634">
      <c r="A634" s="4">
        <f>IFERROR(__xludf.DUMMYFUNCTION("""COMPUTED_VALUE"""),45201.66666666667)</f>
        <v>45201.66667</v>
      </c>
      <c r="B634" s="1">
        <f>IFERROR(__xludf.DUMMYFUNCTION("""COMPUTED_VALUE"""),173.75)</f>
        <v>173.75</v>
      </c>
      <c r="C634" s="4">
        <f>IFERROR(__xludf.DUMMYFUNCTION("""COMPUTED_VALUE"""),45201.66666666667)</f>
        <v>45201.66667</v>
      </c>
      <c r="D634" s="1">
        <f>IFERROR(__xludf.DUMMYFUNCTION("""COMPUTED_VALUE"""),321.8)</f>
        <v>321.8</v>
      </c>
      <c r="E634" s="4">
        <f>IFERROR(__xludf.DUMMYFUNCTION("""COMPUTED_VALUE"""),45201.66666666667)</f>
        <v>45201.66667</v>
      </c>
      <c r="F634" s="1">
        <f>IFERROR(__xludf.DUMMYFUNCTION("""COMPUTED_VALUE"""),115.63)</f>
        <v>115.63</v>
      </c>
      <c r="G634" s="4">
        <f>IFERROR(__xludf.DUMMYFUNCTION("""COMPUTED_VALUE"""),45201.66666666667)</f>
        <v>45201.66667</v>
      </c>
      <c r="H634" s="1">
        <f>IFERROR(__xludf.DUMMYFUNCTION("""COMPUTED_VALUE"""),166.54)</f>
        <v>166.54</v>
      </c>
      <c r="I634" s="5">
        <f t="shared" si="1"/>
        <v>-0.007769784173</v>
      </c>
      <c r="K634" s="5">
        <f t="shared" si="2"/>
        <v>-0.02613424487</v>
      </c>
      <c r="L634" s="5">
        <f t="shared" si="3"/>
        <v>0.001729654934</v>
      </c>
      <c r="M634" s="5">
        <f t="shared" si="4"/>
        <v>0.002341779753</v>
      </c>
      <c r="Q634" s="5"/>
    </row>
    <row r="635">
      <c r="A635" s="4">
        <f>IFERROR(__xludf.DUMMYFUNCTION("""COMPUTED_VALUE"""),45202.66666666667)</f>
        <v>45202.66667</v>
      </c>
      <c r="B635" s="1">
        <f>IFERROR(__xludf.DUMMYFUNCTION("""COMPUTED_VALUE"""),172.4)</f>
        <v>172.4</v>
      </c>
      <c r="C635" s="4">
        <f>IFERROR(__xludf.DUMMYFUNCTION("""COMPUTED_VALUE"""),45202.66666666667)</f>
        <v>45202.66667</v>
      </c>
      <c r="D635" s="1">
        <f>IFERROR(__xludf.DUMMYFUNCTION("""COMPUTED_VALUE"""),313.39)</f>
        <v>313.39</v>
      </c>
      <c r="E635" s="4">
        <f>IFERROR(__xludf.DUMMYFUNCTION("""COMPUTED_VALUE"""),45202.66666666667)</f>
        <v>45202.66667</v>
      </c>
      <c r="F635" s="1">
        <f>IFERROR(__xludf.DUMMYFUNCTION("""COMPUTED_VALUE"""),115.83)</f>
        <v>115.83</v>
      </c>
      <c r="G635" s="4">
        <f>IFERROR(__xludf.DUMMYFUNCTION("""COMPUTED_VALUE"""),45202.66666666667)</f>
        <v>45202.66667</v>
      </c>
      <c r="H635" s="1">
        <f>IFERROR(__xludf.DUMMYFUNCTION("""COMPUTED_VALUE"""),166.93)</f>
        <v>166.93</v>
      </c>
      <c r="I635" s="5">
        <f t="shared" si="1"/>
        <v>0.007308584687</v>
      </c>
      <c r="K635" s="5">
        <f t="shared" si="2"/>
        <v>0.01777338141</v>
      </c>
      <c r="L635" s="5">
        <f t="shared" si="3"/>
        <v>-0.03738237072</v>
      </c>
      <c r="M635" s="5">
        <f t="shared" si="4"/>
        <v>-0.02330318097</v>
      </c>
      <c r="Q635" s="5"/>
    </row>
    <row r="636">
      <c r="A636" s="4">
        <f>IFERROR(__xludf.DUMMYFUNCTION("""COMPUTED_VALUE"""),45203.66666666667)</f>
        <v>45203.66667</v>
      </c>
      <c r="B636" s="1">
        <f>IFERROR(__xludf.DUMMYFUNCTION("""COMPUTED_VALUE"""),173.66)</f>
        <v>173.66</v>
      </c>
      <c r="C636" s="4">
        <f>IFERROR(__xludf.DUMMYFUNCTION("""COMPUTED_VALUE"""),45203.66666666667)</f>
        <v>45203.66667</v>
      </c>
      <c r="D636" s="1">
        <f>IFERROR(__xludf.DUMMYFUNCTION("""COMPUTED_VALUE"""),318.96)</f>
        <v>318.96</v>
      </c>
      <c r="E636" s="4">
        <f>IFERROR(__xludf.DUMMYFUNCTION("""COMPUTED_VALUE"""),45203.66666666667)</f>
        <v>45203.66667</v>
      </c>
      <c r="F636" s="1">
        <f>IFERROR(__xludf.DUMMYFUNCTION("""COMPUTED_VALUE"""),111.5)</f>
        <v>111.5</v>
      </c>
      <c r="G636" s="4">
        <f>IFERROR(__xludf.DUMMYFUNCTION("""COMPUTED_VALUE"""),45203.66666666667)</f>
        <v>45203.66667</v>
      </c>
      <c r="H636" s="1">
        <f>IFERROR(__xludf.DUMMYFUNCTION("""COMPUTED_VALUE"""),163.04)</f>
        <v>163.04</v>
      </c>
      <c r="I636" s="5">
        <f t="shared" si="1"/>
        <v>0.007197973051</v>
      </c>
      <c r="K636" s="5">
        <f t="shared" si="2"/>
        <v>0.001254075746</v>
      </c>
      <c r="L636" s="5">
        <f t="shared" si="3"/>
        <v>-0.02251121076</v>
      </c>
      <c r="M636" s="5">
        <f t="shared" si="4"/>
        <v>0.005274779195</v>
      </c>
      <c r="Q636" s="5"/>
    </row>
    <row r="637">
      <c r="A637" s="4">
        <f>IFERROR(__xludf.DUMMYFUNCTION("""COMPUTED_VALUE"""),45204.66666666667)</f>
        <v>45204.66667</v>
      </c>
      <c r="B637" s="1">
        <f>IFERROR(__xludf.DUMMYFUNCTION("""COMPUTED_VALUE"""),174.91)</f>
        <v>174.91</v>
      </c>
      <c r="C637" s="4">
        <f>IFERROR(__xludf.DUMMYFUNCTION("""COMPUTED_VALUE"""),45204.66666666667)</f>
        <v>45204.66667</v>
      </c>
      <c r="D637" s="1">
        <f>IFERROR(__xludf.DUMMYFUNCTION("""COMPUTED_VALUE"""),319.36)</f>
        <v>319.36</v>
      </c>
      <c r="E637" s="4">
        <f>IFERROR(__xludf.DUMMYFUNCTION("""COMPUTED_VALUE"""),45204.66666666667)</f>
        <v>45204.66667</v>
      </c>
      <c r="F637" s="1">
        <f>IFERROR(__xludf.DUMMYFUNCTION("""COMPUTED_VALUE"""),108.99)</f>
        <v>108.99</v>
      </c>
      <c r="G637" s="4">
        <f>IFERROR(__xludf.DUMMYFUNCTION("""COMPUTED_VALUE"""),45204.66666666667)</f>
        <v>45204.66667</v>
      </c>
      <c r="H637" s="1">
        <f>IFERROR(__xludf.DUMMYFUNCTION("""COMPUTED_VALUE"""),163.9)</f>
        <v>163.9</v>
      </c>
      <c r="I637" s="5">
        <f t="shared" si="1"/>
        <v>0.01475044309</v>
      </c>
      <c r="K637" s="5">
        <f t="shared" si="2"/>
        <v>0.02473697395</v>
      </c>
      <c r="L637" s="5">
        <f t="shared" si="3"/>
        <v>-0.0166987797</v>
      </c>
      <c r="M637" s="5">
        <f t="shared" si="4"/>
        <v>-0.01018913972</v>
      </c>
      <c r="Q637" s="5"/>
    </row>
    <row r="638">
      <c r="A638" s="4">
        <f>IFERROR(__xludf.DUMMYFUNCTION("""COMPUTED_VALUE"""),45205.66666666667)</f>
        <v>45205.66667</v>
      </c>
      <c r="B638" s="1">
        <f>IFERROR(__xludf.DUMMYFUNCTION("""COMPUTED_VALUE"""),177.49)</f>
        <v>177.49</v>
      </c>
      <c r="C638" s="4">
        <f>IFERROR(__xludf.DUMMYFUNCTION("""COMPUTED_VALUE"""),45205.66666666667)</f>
        <v>45205.66667</v>
      </c>
      <c r="D638" s="1">
        <f>IFERROR(__xludf.DUMMYFUNCTION("""COMPUTED_VALUE"""),327.26)</f>
        <v>327.26</v>
      </c>
      <c r="E638" s="4">
        <f>IFERROR(__xludf.DUMMYFUNCTION("""COMPUTED_VALUE"""),45205.66666666667)</f>
        <v>45205.66667</v>
      </c>
      <c r="F638" s="1">
        <f>IFERROR(__xludf.DUMMYFUNCTION("""COMPUTED_VALUE"""),107.17)</f>
        <v>107.17</v>
      </c>
      <c r="G638" s="4">
        <f>IFERROR(__xludf.DUMMYFUNCTION("""COMPUTED_VALUE"""),45205.66666666667)</f>
        <v>45205.66667</v>
      </c>
      <c r="H638" s="1">
        <f>IFERROR(__xludf.DUMMYFUNCTION("""COMPUTED_VALUE"""),162.23)</f>
        <v>162.23</v>
      </c>
      <c r="I638" s="5">
        <f t="shared" si="1"/>
        <v>0.008451180348</v>
      </c>
      <c r="K638" s="5">
        <f t="shared" si="2"/>
        <v>0.007822526432</v>
      </c>
      <c r="L638" s="5">
        <f t="shared" si="3"/>
        <v>0.03499113558</v>
      </c>
      <c r="M638" s="5">
        <f t="shared" si="4"/>
        <v>0.02767675522</v>
      </c>
      <c r="Q638" s="5"/>
    </row>
    <row r="639">
      <c r="A639" s="4">
        <f>IFERROR(__xludf.DUMMYFUNCTION("""COMPUTED_VALUE"""),45208.66666666667)</f>
        <v>45208.66667</v>
      </c>
      <c r="B639" s="1">
        <f>IFERROR(__xludf.DUMMYFUNCTION("""COMPUTED_VALUE"""),178.99)</f>
        <v>178.99</v>
      </c>
      <c r="C639" s="4">
        <f>IFERROR(__xludf.DUMMYFUNCTION("""COMPUTED_VALUE"""),45208.66666666667)</f>
        <v>45208.66667</v>
      </c>
      <c r="D639" s="1">
        <f>IFERROR(__xludf.DUMMYFUNCTION("""COMPUTED_VALUE"""),329.82)</f>
        <v>329.82</v>
      </c>
      <c r="E639" s="4">
        <f>IFERROR(__xludf.DUMMYFUNCTION("""COMPUTED_VALUE"""),45208.66666666667)</f>
        <v>45208.66667</v>
      </c>
      <c r="F639" s="1">
        <f>IFERROR(__xludf.DUMMYFUNCTION("""COMPUTED_VALUE"""),110.92)</f>
        <v>110.92</v>
      </c>
      <c r="G639" s="4">
        <f>IFERROR(__xludf.DUMMYFUNCTION("""COMPUTED_VALUE"""),45208.66666666667)</f>
        <v>45208.66667</v>
      </c>
      <c r="H639" s="1">
        <f>IFERROR(__xludf.DUMMYFUNCTION("""COMPUTED_VALUE"""),166.72)</f>
        <v>166.72</v>
      </c>
      <c r="I639" s="5">
        <f t="shared" si="1"/>
        <v>-0.003352142578</v>
      </c>
      <c r="K639" s="5">
        <f t="shared" si="2"/>
        <v>-0.00433569826</v>
      </c>
      <c r="L639" s="5">
        <f t="shared" si="3"/>
        <v>-0.004237288136</v>
      </c>
      <c r="M639" s="5">
        <f t="shared" si="4"/>
        <v>-0.001079654511</v>
      </c>
      <c r="Q639" s="5"/>
    </row>
    <row r="640">
      <c r="A640" s="4">
        <f>IFERROR(__xludf.DUMMYFUNCTION("""COMPUTED_VALUE"""),45209.66666666667)</f>
        <v>45209.66667</v>
      </c>
      <c r="B640" s="1">
        <f>IFERROR(__xludf.DUMMYFUNCTION("""COMPUTED_VALUE"""),178.39)</f>
        <v>178.39</v>
      </c>
      <c r="C640" s="4">
        <f>IFERROR(__xludf.DUMMYFUNCTION("""COMPUTED_VALUE"""),45209.66666666667)</f>
        <v>45209.66667</v>
      </c>
      <c r="D640" s="1">
        <f>IFERROR(__xludf.DUMMYFUNCTION("""COMPUTED_VALUE"""),328.39)</f>
        <v>328.39</v>
      </c>
      <c r="E640" s="4">
        <f>IFERROR(__xludf.DUMMYFUNCTION("""COMPUTED_VALUE"""),45209.66666666667)</f>
        <v>45209.66667</v>
      </c>
      <c r="F640" s="1">
        <f>IFERROR(__xludf.DUMMYFUNCTION("""COMPUTED_VALUE"""),110.45)</f>
        <v>110.45</v>
      </c>
      <c r="G640" s="4">
        <f>IFERROR(__xludf.DUMMYFUNCTION("""COMPUTED_VALUE"""),45209.66666666667)</f>
        <v>45209.66667</v>
      </c>
      <c r="H640" s="1">
        <f>IFERROR(__xludf.DUMMYFUNCTION("""COMPUTED_VALUE"""),166.54)</f>
        <v>166.54</v>
      </c>
      <c r="I640" s="5">
        <f t="shared" si="1"/>
        <v>0.007904030495</v>
      </c>
      <c r="K640" s="5">
        <f t="shared" si="2"/>
        <v>0.01227199367</v>
      </c>
      <c r="L640" s="5">
        <f t="shared" si="3"/>
        <v>-0.0358533273</v>
      </c>
      <c r="M640" s="5">
        <f t="shared" si="4"/>
        <v>-0.03266482527</v>
      </c>
      <c r="Q640" s="5"/>
    </row>
    <row r="641">
      <c r="A641" s="4">
        <f>IFERROR(__xludf.DUMMYFUNCTION("""COMPUTED_VALUE"""),45210.66666666667)</f>
        <v>45210.66667</v>
      </c>
      <c r="B641" s="1">
        <f>IFERROR(__xludf.DUMMYFUNCTION("""COMPUTED_VALUE"""),179.8)</f>
        <v>179.8</v>
      </c>
      <c r="C641" s="4">
        <f>IFERROR(__xludf.DUMMYFUNCTION("""COMPUTED_VALUE"""),45210.66666666667)</f>
        <v>45210.66667</v>
      </c>
      <c r="D641" s="1">
        <f>IFERROR(__xludf.DUMMYFUNCTION("""COMPUTED_VALUE"""),332.42)</f>
        <v>332.42</v>
      </c>
      <c r="E641" s="4">
        <f>IFERROR(__xludf.DUMMYFUNCTION("""COMPUTED_VALUE"""),45210.66666666667)</f>
        <v>45210.66667</v>
      </c>
      <c r="F641" s="1">
        <f>IFERROR(__xludf.DUMMYFUNCTION("""COMPUTED_VALUE"""),106.49)</f>
        <v>106.49</v>
      </c>
      <c r="G641" s="4">
        <f>IFERROR(__xludf.DUMMYFUNCTION("""COMPUTED_VALUE"""),45210.66666666667)</f>
        <v>45210.66667</v>
      </c>
      <c r="H641" s="1">
        <f>IFERROR(__xludf.DUMMYFUNCTION("""COMPUTED_VALUE"""),161.1)</f>
        <v>161.1</v>
      </c>
      <c r="I641" s="5">
        <f t="shared" si="1"/>
        <v>0.005061179088</v>
      </c>
      <c r="K641" s="5">
        <f t="shared" si="2"/>
        <v>-0.003790385657</v>
      </c>
      <c r="L641" s="5">
        <f t="shared" si="3"/>
        <v>-0.0001878110621</v>
      </c>
      <c r="M641" s="5">
        <f t="shared" si="4"/>
        <v>0.0008069522036</v>
      </c>
      <c r="Q641" s="5"/>
    </row>
    <row r="642">
      <c r="A642" s="4">
        <f>IFERROR(__xludf.DUMMYFUNCTION("""COMPUTED_VALUE"""),45211.66666666667)</f>
        <v>45211.66667</v>
      </c>
      <c r="B642" s="1">
        <f>IFERROR(__xludf.DUMMYFUNCTION("""COMPUTED_VALUE"""),180.71)</f>
        <v>180.71</v>
      </c>
      <c r="C642" s="4">
        <f>IFERROR(__xludf.DUMMYFUNCTION("""COMPUTED_VALUE"""),45211.66666666667)</f>
        <v>45211.66667</v>
      </c>
      <c r="D642" s="1">
        <f>IFERROR(__xludf.DUMMYFUNCTION("""COMPUTED_VALUE"""),331.16)</f>
        <v>331.16</v>
      </c>
      <c r="E642" s="4">
        <f>IFERROR(__xludf.DUMMYFUNCTION("""COMPUTED_VALUE"""),45211.66666666667)</f>
        <v>45211.66667</v>
      </c>
      <c r="F642" s="1">
        <f>IFERROR(__xludf.DUMMYFUNCTION("""COMPUTED_VALUE"""),106.47)</f>
        <v>106.47</v>
      </c>
      <c r="G642" s="4">
        <f>IFERROR(__xludf.DUMMYFUNCTION("""COMPUTED_VALUE"""),45211.66666666667)</f>
        <v>45211.66667</v>
      </c>
      <c r="H642" s="1">
        <f>IFERROR(__xludf.DUMMYFUNCTION("""COMPUTED_VALUE"""),161.23)</f>
        <v>161.23</v>
      </c>
      <c r="I642" s="5">
        <f t="shared" si="1"/>
        <v>-0.01029273422</v>
      </c>
      <c r="K642" s="5">
        <f t="shared" si="2"/>
        <v>-0.0103575311</v>
      </c>
      <c r="L642" s="5">
        <f t="shared" si="3"/>
        <v>0.03193387809</v>
      </c>
      <c r="M642" s="5">
        <f t="shared" si="4"/>
        <v>0.01755256466</v>
      </c>
      <c r="Q642" s="5"/>
    </row>
    <row r="643">
      <c r="A643" s="4">
        <f>IFERROR(__xludf.DUMMYFUNCTION("""COMPUTED_VALUE"""),45212.66666666667)</f>
        <v>45212.66667</v>
      </c>
      <c r="B643" s="1">
        <f>IFERROR(__xludf.DUMMYFUNCTION("""COMPUTED_VALUE"""),178.85)</f>
        <v>178.85</v>
      </c>
      <c r="C643" s="4">
        <f>IFERROR(__xludf.DUMMYFUNCTION("""COMPUTED_VALUE"""),45212.66666666667)</f>
        <v>45212.66667</v>
      </c>
      <c r="D643" s="1">
        <f>IFERROR(__xludf.DUMMYFUNCTION("""COMPUTED_VALUE"""),327.73)</f>
        <v>327.73</v>
      </c>
      <c r="E643" s="4">
        <f>IFERROR(__xludf.DUMMYFUNCTION("""COMPUTED_VALUE"""),45212.66666666667)</f>
        <v>45212.66667</v>
      </c>
      <c r="F643" s="1">
        <f>IFERROR(__xludf.DUMMYFUNCTION("""COMPUTED_VALUE"""),109.87)</f>
        <v>109.87</v>
      </c>
      <c r="G643" s="4">
        <f>IFERROR(__xludf.DUMMYFUNCTION("""COMPUTED_VALUE"""),45212.66666666667)</f>
        <v>45212.66667</v>
      </c>
      <c r="H643" s="1">
        <f>IFERROR(__xludf.DUMMYFUNCTION("""COMPUTED_VALUE"""),164.06)</f>
        <v>164.06</v>
      </c>
      <c r="I643" s="5">
        <f t="shared" si="1"/>
        <v>-0.0007268660889</v>
      </c>
      <c r="K643" s="5">
        <f t="shared" si="2"/>
        <v>0.01498184481</v>
      </c>
      <c r="L643" s="5">
        <f t="shared" si="3"/>
        <v>0.0007281332484</v>
      </c>
      <c r="M643" s="5">
        <f t="shared" si="4"/>
        <v>0.008167743508</v>
      </c>
      <c r="Q643" s="5"/>
    </row>
    <row r="644">
      <c r="A644" s="4">
        <f>IFERROR(__xludf.DUMMYFUNCTION("""COMPUTED_VALUE"""),45215.66666666667)</f>
        <v>45215.66667</v>
      </c>
      <c r="B644" s="1">
        <f>IFERROR(__xludf.DUMMYFUNCTION("""COMPUTED_VALUE"""),178.72)</f>
        <v>178.72</v>
      </c>
      <c r="C644" s="4">
        <f>IFERROR(__xludf.DUMMYFUNCTION("""COMPUTED_VALUE"""),45215.66666666667)</f>
        <v>45215.66667</v>
      </c>
      <c r="D644" s="1">
        <f>IFERROR(__xludf.DUMMYFUNCTION("""COMPUTED_VALUE"""),332.64)</f>
        <v>332.64</v>
      </c>
      <c r="E644" s="4">
        <f>IFERROR(__xludf.DUMMYFUNCTION("""COMPUTED_VALUE"""),45215.66666666667)</f>
        <v>45215.66667</v>
      </c>
      <c r="F644" s="1">
        <f>IFERROR(__xludf.DUMMYFUNCTION("""COMPUTED_VALUE"""),109.95)</f>
        <v>109.95</v>
      </c>
      <c r="G644" s="4">
        <f>IFERROR(__xludf.DUMMYFUNCTION("""COMPUTED_VALUE"""),45215.66666666667)</f>
        <v>45215.66667</v>
      </c>
      <c r="H644" s="1">
        <f>IFERROR(__xludf.DUMMYFUNCTION("""COMPUTED_VALUE"""),165.4)</f>
        <v>165.4</v>
      </c>
      <c r="I644" s="5">
        <f t="shared" si="1"/>
        <v>-0.008784691137</v>
      </c>
      <c r="K644" s="5">
        <f t="shared" si="2"/>
        <v>-0.001743626744</v>
      </c>
      <c r="L644" s="5">
        <f t="shared" si="3"/>
        <v>0.01309686221</v>
      </c>
      <c r="M644" s="5">
        <f t="shared" si="4"/>
        <v>0.01324062878</v>
      </c>
      <c r="Q644" s="5"/>
    </row>
    <row r="645">
      <c r="A645" s="4">
        <f>IFERROR(__xludf.DUMMYFUNCTION("""COMPUTED_VALUE"""),45216.66666666667)</f>
        <v>45216.66667</v>
      </c>
      <c r="B645" s="1">
        <f>IFERROR(__xludf.DUMMYFUNCTION("""COMPUTED_VALUE"""),177.15)</f>
        <v>177.15</v>
      </c>
      <c r="C645" s="4">
        <f>IFERROR(__xludf.DUMMYFUNCTION("""COMPUTED_VALUE"""),45216.66666666667)</f>
        <v>45216.66667</v>
      </c>
      <c r="D645" s="1">
        <f>IFERROR(__xludf.DUMMYFUNCTION("""COMPUTED_VALUE"""),332.06)</f>
        <v>332.06</v>
      </c>
      <c r="E645" s="4">
        <f>IFERROR(__xludf.DUMMYFUNCTION("""COMPUTED_VALUE"""),45216.66666666667)</f>
        <v>45216.66667</v>
      </c>
      <c r="F645" s="1">
        <f>IFERROR(__xludf.DUMMYFUNCTION("""COMPUTED_VALUE"""),111.39)</f>
        <v>111.39</v>
      </c>
      <c r="G645" s="4">
        <f>IFERROR(__xludf.DUMMYFUNCTION("""COMPUTED_VALUE"""),45216.66666666667)</f>
        <v>45216.66667</v>
      </c>
      <c r="H645" s="1">
        <f>IFERROR(__xludf.DUMMYFUNCTION("""COMPUTED_VALUE"""),167.59)</f>
        <v>167.59</v>
      </c>
      <c r="I645" s="5">
        <f t="shared" si="1"/>
        <v>-0.00739486311</v>
      </c>
      <c r="K645" s="5">
        <f t="shared" si="2"/>
        <v>-0.005872432693</v>
      </c>
      <c r="L645" s="5">
        <f t="shared" si="3"/>
        <v>0.01400484783</v>
      </c>
      <c r="M645" s="5">
        <f t="shared" si="4"/>
        <v>0.00793603437</v>
      </c>
      <c r="Q645" s="5"/>
    </row>
    <row r="646">
      <c r="A646" s="4">
        <f>IFERROR(__xludf.DUMMYFUNCTION("""COMPUTED_VALUE"""),45217.66666666667)</f>
        <v>45217.66667</v>
      </c>
      <c r="B646" s="1">
        <f>IFERROR(__xludf.DUMMYFUNCTION("""COMPUTED_VALUE"""),175.84)</f>
        <v>175.84</v>
      </c>
      <c r="C646" s="4">
        <f>IFERROR(__xludf.DUMMYFUNCTION("""COMPUTED_VALUE"""),45217.66666666667)</f>
        <v>45217.66667</v>
      </c>
      <c r="D646" s="1">
        <f>IFERROR(__xludf.DUMMYFUNCTION("""COMPUTED_VALUE"""),330.11)</f>
        <v>330.11</v>
      </c>
      <c r="E646" s="4">
        <f>IFERROR(__xludf.DUMMYFUNCTION("""COMPUTED_VALUE"""),45217.66666666667)</f>
        <v>45217.66667</v>
      </c>
      <c r="F646" s="1">
        <f>IFERROR(__xludf.DUMMYFUNCTION("""COMPUTED_VALUE"""),112.95)</f>
        <v>112.95</v>
      </c>
      <c r="G646" s="4">
        <f>IFERROR(__xludf.DUMMYFUNCTION("""COMPUTED_VALUE"""),45217.66666666667)</f>
        <v>45217.66667</v>
      </c>
      <c r="H646" s="1">
        <f>IFERROR(__xludf.DUMMYFUNCTION("""COMPUTED_VALUE"""),168.92)</f>
        <v>168.92</v>
      </c>
      <c r="I646" s="5">
        <f t="shared" si="1"/>
        <v>-0.002161055505</v>
      </c>
      <c r="K646" s="5">
        <f t="shared" si="2"/>
        <v>0.003665444852</v>
      </c>
      <c r="L646" s="5">
        <f t="shared" si="3"/>
        <v>0.0006197432492</v>
      </c>
      <c r="M646" s="5">
        <f t="shared" si="4"/>
        <v>0.00106559318</v>
      </c>
      <c r="Q646" s="5"/>
    </row>
    <row r="647">
      <c r="A647" s="4">
        <f>IFERROR(__xludf.DUMMYFUNCTION("""COMPUTED_VALUE"""),45218.66666666667)</f>
        <v>45218.66667</v>
      </c>
      <c r="B647" s="1">
        <f>IFERROR(__xludf.DUMMYFUNCTION("""COMPUTED_VALUE"""),175.46)</f>
        <v>175.46</v>
      </c>
      <c r="C647" s="4">
        <f>IFERROR(__xludf.DUMMYFUNCTION("""COMPUTED_VALUE"""),45218.66666666667)</f>
        <v>45218.66667</v>
      </c>
      <c r="D647" s="1">
        <f>IFERROR(__xludf.DUMMYFUNCTION("""COMPUTED_VALUE"""),331.32)</f>
        <v>331.32</v>
      </c>
      <c r="E647" s="4">
        <f>IFERROR(__xludf.DUMMYFUNCTION("""COMPUTED_VALUE"""),45218.66666666667)</f>
        <v>45218.66667</v>
      </c>
      <c r="F647" s="1">
        <f>IFERROR(__xludf.DUMMYFUNCTION("""COMPUTED_VALUE"""),113.02)</f>
        <v>113.02</v>
      </c>
      <c r="G647" s="4">
        <f>IFERROR(__xludf.DUMMYFUNCTION("""COMPUTED_VALUE"""),45218.66666666667)</f>
        <v>45218.66667</v>
      </c>
      <c r="H647" s="1">
        <f>IFERROR(__xludf.DUMMYFUNCTION("""COMPUTED_VALUE"""),169.1)</f>
        <v>169.1</v>
      </c>
      <c r="I647" s="5">
        <f t="shared" si="1"/>
        <v>-0.01470420609</v>
      </c>
      <c r="K647" s="5">
        <f t="shared" si="2"/>
        <v>-0.01403477001</v>
      </c>
      <c r="L647" s="5">
        <f t="shared" si="3"/>
        <v>-0.01716510352</v>
      </c>
      <c r="M647" s="5">
        <f t="shared" si="4"/>
        <v>-0.01342400946</v>
      </c>
      <c r="Q647" s="5"/>
    </row>
    <row r="648">
      <c r="A648" s="4">
        <f>IFERROR(__xludf.DUMMYFUNCTION("""COMPUTED_VALUE"""),45219.66666666667)</f>
        <v>45219.66667</v>
      </c>
      <c r="B648" s="1">
        <f>IFERROR(__xludf.DUMMYFUNCTION("""COMPUTED_VALUE"""),172.88)</f>
        <v>172.88</v>
      </c>
      <c r="C648" s="4">
        <f>IFERROR(__xludf.DUMMYFUNCTION("""COMPUTED_VALUE"""),45219.66666666667)</f>
        <v>45219.66667</v>
      </c>
      <c r="D648" s="1">
        <f>IFERROR(__xludf.DUMMYFUNCTION("""COMPUTED_VALUE"""),326.67)</f>
        <v>326.67</v>
      </c>
      <c r="E648" s="4">
        <f>IFERROR(__xludf.DUMMYFUNCTION("""COMPUTED_VALUE"""),45219.66666666667)</f>
        <v>45219.66667</v>
      </c>
      <c r="F648" s="1">
        <f>IFERROR(__xludf.DUMMYFUNCTION("""COMPUTED_VALUE"""),111.08)</f>
        <v>111.08</v>
      </c>
      <c r="G648" s="4">
        <f>IFERROR(__xludf.DUMMYFUNCTION("""COMPUTED_VALUE"""),45219.66666666667)</f>
        <v>45219.66667</v>
      </c>
      <c r="H648" s="1">
        <f>IFERROR(__xludf.DUMMYFUNCTION("""COMPUTED_VALUE"""),166.83)</f>
        <v>166.83</v>
      </c>
      <c r="I648" s="5">
        <f t="shared" si="1"/>
        <v>0.0006941230912</v>
      </c>
      <c r="K648" s="5">
        <f t="shared" si="2"/>
        <v>0.008112162121</v>
      </c>
      <c r="L648" s="5">
        <f t="shared" si="3"/>
        <v>-0.01467410875</v>
      </c>
      <c r="M648" s="5">
        <f t="shared" si="4"/>
        <v>-0.0368638734</v>
      </c>
      <c r="Q648" s="5"/>
    </row>
    <row r="649">
      <c r="A649" s="4">
        <f>IFERROR(__xludf.DUMMYFUNCTION("""COMPUTED_VALUE"""),45222.66666666667)</f>
        <v>45222.66667</v>
      </c>
      <c r="B649" s="1">
        <f>IFERROR(__xludf.DUMMYFUNCTION("""COMPUTED_VALUE"""),173.0)</f>
        <v>173</v>
      </c>
      <c r="C649" s="4">
        <f>IFERROR(__xludf.DUMMYFUNCTION("""COMPUTED_VALUE"""),45222.66666666667)</f>
        <v>45222.66667</v>
      </c>
      <c r="D649" s="1">
        <f>IFERROR(__xludf.DUMMYFUNCTION("""COMPUTED_VALUE"""),329.32)</f>
        <v>329.32</v>
      </c>
      <c r="E649" s="4">
        <f>IFERROR(__xludf.DUMMYFUNCTION("""COMPUTED_VALUE"""),45222.66666666667)</f>
        <v>45222.66667</v>
      </c>
      <c r="F649" s="1">
        <f>IFERROR(__xludf.DUMMYFUNCTION("""COMPUTED_VALUE"""),109.45)</f>
        <v>109.45</v>
      </c>
      <c r="G649" s="4">
        <f>IFERROR(__xludf.DUMMYFUNCTION("""COMPUTED_VALUE"""),45222.66666666667)</f>
        <v>45222.66667</v>
      </c>
      <c r="H649" s="1">
        <f>IFERROR(__xludf.DUMMYFUNCTION("""COMPUTED_VALUE"""),160.68)</f>
        <v>160.68</v>
      </c>
      <c r="I649" s="5">
        <f t="shared" si="1"/>
        <v>0.002543352601</v>
      </c>
      <c r="K649" s="5">
        <f t="shared" si="2"/>
        <v>0.003674237823</v>
      </c>
      <c r="L649" s="5">
        <f t="shared" si="3"/>
        <v>-0.009684787574</v>
      </c>
      <c r="M649" s="5">
        <f t="shared" si="4"/>
        <v>-0.02508090615</v>
      </c>
      <c r="Q649" s="5"/>
    </row>
    <row r="650">
      <c r="A650" s="4">
        <f>IFERROR(__xludf.DUMMYFUNCTION("""COMPUTED_VALUE"""),45223.66666666667)</f>
        <v>45223.66667</v>
      </c>
      <c r="B650" s="1">
        <f>IFERROR(__xludf.DUMMYFUNCTION("""COMPUTED_VALUE"""),173.44)</f>
        <v>173.44</v>
      </c>
      <c r="C650" s="4">
        <f>IFERROR(__xludf.DUMMYFUNCTION("""COMPUTED_VALUE"""),45223.66666666667)</f>
        <v>45223.66667</v>
      </c>
      <c r="D650" s="1">
        <f>IFERROR(__xludf.DUMMYFUNCTION("""COMPUTED_VALUE"""),330.53)</f>
        <v>330.53</v>
      </c>
      <c r="E650" s="4">
        <f>IFERROR(__xludf.DUMMYFUNCTION("""COMPUTED_VALUE"""),45223.66666666667)</f>
        <v>45223.66667</v>
      </c>
      <c r="F650" s="1">
        <f>IFERROR(__xludf.DUMMYFUNCTION("""COMPUTED_VALUE"""),108.39)</f>
        <v>108.39</v>
      </c>
      <c r="G650" s="4">
        <f>IFERROR(__xludf.DUMMYFUNCTION("""COMPUTED_VALUE"""),45223.66666666667)</f>
        <v>45223.66667</v>
      </c>
      <c r="H650" s="1">
        <f>IFERROR(__xludf.DUMMYFUNCTION("""COMPUTED_VALUE"""),156.65)</f>
        <v>156.65</v>
      </c>
      <c r="I650" s="5">
        <f t="shared" si="1"/>
        <v>-0.01349169742</v>
      </c>
      <c r="K650" s="5">
        <f t="shared" si="2"/>
        <v>0.030678002</v>
      </c>
      <c r="L650" s="5">
        <f t="shared" si="3"/>
        <v>0.001845188671</v>
      </c>
      <c r="M650" s="5">
        <f t="shared" si="4"/>
        <v>-0.004979253112</v>
      </c>
      <c r="Q650" s="5"/>
    </row>
    <row r="651">
      <c r="A651" s="4">
        <f>IFERROR(__xludf.DUMMYFUNCTION("""COMPUTED_VALUE"""),45224.66666666667)</f>
        <v>45224.66667</v>
      </c>
      <c r="B651" s="1">
        <f>IFERROR(__xludf.DUMMYFUNCTION("""COMPUTED_VALUE"""),171.1)</f>
        <v>171.1</v>
      </c>
      <c r="C651" s="4">
        <f>IFERROR(__xludf.DUMMYFUNCTION("""COMPUTED_VALUE"""),45224.66666666667)</f>
        <v>45224.66667</v>
      </c>
      <c r="D651" s="1">
        <f>IFERROR(__xludf.DUMMYFUNCTION("""COMPUTED_VALUE"""),340.67)</f>
        <v>340.67</v>
      </c>
      <c r="E651" s="4">
        <f>IFERROR(__xludf.DUMMYFUNCTION("""COMPUTED_VALUE"""),45224.66666666667)</f>
        <v>45224.66667</v>
      </c>
      <c r="F651" s="1">
        <f>IFERROR(__xludf.DUMMYFUNCTION("""COMPUTED_VALUE"""),108.59)</f>
        <v>108.59</v>
      </c>
      <c r="G651" s="4">
        <f>IFERROR(__xludf.DUMMYFUNCTION("""COMPUTED_VALUE"""),45224.66666666667)</f>
        <v>45224.66667</v>
      </c>
      <c r="H651" s="1">
        <f>IFERROR(__xludf.DUMMYFUNCTION("""COMPUTED_VALUE"""),155.87)</f>
        <v>155.87</v>
      </c>
      <c r="I651" s="5">
        <f t="shared" si="1"/>
        <v>-0.02460549386</v>
      </c>
      <c r="K651" s="5">
        <f t="shared" si="2"/>
        <v>-0.03751431004</v>
      </c>
      <c r="L651" s="5">
        <f t="shared" si="3"/>
        <v>-0.009116861589</v>
      </c>
      <c r="M651" s="5">
        <f t="shared" si="4"/>
        <v>-0.007185475075</v>
      </c>
      <c r="Q651" s="5"/>
    </row>
    <row r="652">
      <c r="A652" s="4">
        <f>IFERROR(__xludf.DUMMYFUNCTION("""COMPUTED_VALUE"""),45225.66666666667)</f>
        <v>45225.66667</v>
      </c>
      <c r="B652" s="1">
        <f>IFERROR(__xludf.DUMMYFUNCTION("""COMPUTED_VALUE"""),166.89)</f>
        <v>166.89</v>
      </c>
      <c r="C652" s="4">
        <f>IFERROR(__xludf.DUMMYFUNCTION("""COMPUTED_VALUE"""),45225.66666666667)</f>
        <v>45225.66667</v>
      </c>
      <c r="D652" s="1">
        <f>IFERROR(__xludf.DUMMYFUNCTION("""COMPUTED_VALUE"""),327.89)</f>
        <v>327.89</v>
      </c>
      <c r="E652" s="4">
        <f>IFERROR(__xludf.DUMMYFUNCTION("""COMPUTED_VALUE"""),45225.66666666667)</f>
        <v>45225.66667</v>
      </c>
      <c r="F652" s="1">
        <f>IFERROR(__xludf.DUMMYFUNCTION("""COMPUTED_VALUE"""),107.6)</f>
        <v>107.6</v>
      </c>
      <c r="G652" s="4">
        <f>IFERROR(__xludf.DUMMYFUNCTION("""COMPUTED_VALUE"""),45225.66666666667)</f>
        <v>45225.66667</v>
      </c>
      <c r="H652" s="1">
        <f>IFERROR(__xludf.DUMMYFUNCTION("""COMPUTED_VALUE"""),154.75)</f>
        <v>154.75</v>
      </c>
      <c r="I652" s="5">
        <f t="shared" si="1"/>
        <v>0.00796932111</v>
      </c>
      <c r="K652" s="5">
        <f t="shared" si="2"/>
        <v>0.005855622312</v>
      </c>
      <c r="L652" s="5">
        <f t="shared" si="3"/>
        <v>-0.01905204461</v>
      </c>
      <c r="M652" s="5">
        <f t="shared" si="4"/>
        <v>-0.06720516963</v>
      </c>
      <c r="Q652" s="5"/>
    </row>
    <row r="653">
      <c r="A653" s="4">
        <f>IFERROR(__xludf.DUMMYFUNCTION("""COMPUTED_VALUE"""),45226.66666666667)</f>
        <v>45226.66667</v>
      </c>
      <c r="B653" s="1">
        <f>IFERROR(__xludf.DUMMYFUNCTION("""COMPUTED_VALUE"""),168.22)</f>
        <v>168.22</v>
      </c>
      <c r="C653" s="4">
        <f>IFERROR(__xludf.DUMMYFUNCTION("""COMPUTED_VALUE"""),45226.66666666667)</f>
        <v>45226.66667</v>
      </c>
      <c r="D653" s="1">
        <f>IFERROR(__xludf.DUMMYFUNCTION("""COMPUTED_VALUE"""),329.81)</f>
        <v>329.81</v>
      </c>
      <c r="E653" s="4">
        <f>IFERROR(__xludf.DUMMYFUNCTION("""COMPUTED_VALUE"""),45226.66666666667)</f>
        <v>45226.66667</v>
      </c>
      <c r="F653" s="1">
        <f>IFERROR(__xludf.DUMMYFUNCTION("""COMPUTED_VALUE"""),105.55)</f>
        <v>105.55</v>
      </c>
      <c r="G653" s="4">
        <f>IFERROR(__xludf.DUMMYFUNCTION("""COMPUTED_VALUE"""),45226.66666666667)</f>
        <v>45226.66667</v>
      </c>
      <c r="H653" s="1">
        <f>IFERROR(__xludf.DUMMYFUNCTION("""COMPUTED_VALUE"""),144.35)</f>
        <v>144.35</v>
      </c>
      <c r="I653" s="5">
        <f t="shared" si="1"/>
        <v>0.01230531447</v>
      </c>
      <c r="K653" s="5">
        <f t="shared" si="2"/>
        <v>0.02274036567</v>
      </c>
      <c r="L653" s="5">
        <f t="shared" si="3"/>
        <v>0.003126480341</v>
      </c>
      <c r="M653" s="5">
        <f t="shared" si="4"/>
        <v>0.01205403533</v>
      </c>
      <c r="Q653" s="5"/>
    </row>
    <row r="654">
      <c r="A654" s="4">
        <f>IFERROR(__xludf.DUMMYFUNCTION("""COMPUTED_VALUE"""),45229.66666666667)</f>
        <v>45229.66667</v>
      </c>
      <c r="B654" s="1">
        <f>IFERROR(__xludf.DUMMYFUNCTION("""COMPUTED_VALUE"""),170.29)</f>
        <v>170.29</v>
      </c>
      <c r="C654" s="4">
        <f>IFERROR(__xludf.DUMMYFUNCTION("""COMPUTED_VALUE"""),45229.66666666667)</f>
        <v>45229.66667</v>
      </c>
      <c r="D654" s="1">
        <f>IFERROR(__xludf.DUMMYFUNCTION("""COMPUTED_VALUE"""),337.31)</f>
        <v>337.31</v>
      </c>
      <c r="E654" s="4">
        <f>IFERROR(__xludf.DUMMYFUNCTION("""COMPUTED_VALUE"""),45229.66666666667)</f>
        <v>45229.66667</v>
      </c>
      <c r="F654" s="1">
        <f>IFERROR(__xludf.DUMMYFUNCTION("""COMPUTED_VALUE"""),105.88)</f>
        <v>105.88</v>
      </c>
      <c r="G654" s="4">
        <f>IFERROR(__xludf.DUMMYFUNCTION("""COMPUTED_VALUE"""),45229.66666666667)</f>
        <v>45229.66667</v>
      </c>
      <c r="H654" s="1">
        <f>IFERROR(__xludf.DUMMYFUNCTION("""COMPUTED_VALUE"""),146.09)</f>
        <v>146.09</v>
      </c>
      <c r="I654" s="5">
        <f t="shared" si="1"/>
        <v>0.002818721005</v>
      </c>
      <c r="K654" s="5">
        <f t="shared" si="2"/>
        <v>0.002371705553</v>
      </c>
      <c r="L654" s="5">
        <f t="shared" si="3"/>
        <v>-0.0002833396298</v>
      </c>
      <c r="M654" s="5">
        <f t="shared" si="4"/>
        <v>-0.002464234376</v>
      </c>
      <c r="Q654" s="5"/>
    </row>
    <row r="655">
      <c r="A655" s="4">
        <f>IFERROR(__xludf.DUMMYFUNCTION("""COMPUTED_VALUE"""),45230.66666666667)</f>
        <v>45230.66667</v>
      </c>
      <c r="B655" s="1">
        <f>IFERROR(__xludf.DUMMYFUNCTION("""COMPUTED_VALUE"""),170.77)</f>
        <v>170.77</v>
      </c>
      <c r="C655" s="4">
        <f>IFERROR(__xludf.DUMMYFUNCTION("""COMPUTED_VALUE"""),45230.66666666667)</f>
        <v>45230.66667</v>
      </c>
      <c r="D655" s="1">
        <f>IFERROR(__xludf.DUMMYFUNCTION("""COMPUTED_VALUE"""),338.11)</f>
        <v>338.11</v>
      </c>
      <c r="E655" s="4">
        <f>IFERROR(__xludf.DUMMYFUNCTION("""COMPUTED_VALUE"""),45230.66666666667)</f>
        <v>45230.66667</v>
      </c>
      <c r="F655" s="1">
        <f>IFERROR(__xludf.DUMMYFUNCTION("""COMPUTED_VALUE"""),105.85)</f>
        <v>105.85</v>
      </c>
      <c r="G655" s="4">
        <f>IFERROR(__xludf.DUMMYFUNCTION("""COMPUTED_VALUE"""),45230.66666666667)</f>
        <v>45230.66667</v>
      </c>
      <c r="H655" s="1">
        <f>IFERROR(__xludf.DUMMYFUNCTION("""COMPUTED_VALUE"""),145.73)</f>
        <v>145.73</v>
      </c>
      <c r="I655" s="5">
        <f t="shared" si="1"/>
        <v>0.01873865433</v>
      </c>
      <c r="K655" s="5">
        <f t="shared" si="2"/>
        <v>0.02354263405</v>
      </c>
      <c r="L655" s="5">
        <f t="shared" si="3"/>
        <v>-0.001983939537</v>
      </c>
      <c r="M655" s="5">
        <f t="shared" si="4"/>
        <v>-0.01200850889</v>
      </c>
      <c r="Q655" s="5"/>
    </row>
    <row r="656">
      <c r="A656" s="4">
        <f>IFERROR(__xludf.DUMMYFUNCTION("""COMPUTED_VALUE"""),45231.66666666667)</f>
        <v>45231.66667</v>
      </c>
      <c r="B656" s="1">
        <f>IFERROR(__xludf.DUMMYFUNCTION("""COMPUTED_VALUE"""),173.97)</f>
        <v>173.97</v>
      </c>
      <c r="C656" s="4">
        <f>IFERROR(__xludf.DUMMYFUNCTION("""COMPUTED_VALUE"""),45231.66666666667)</f>
        <v>45231.66667</v>
      </c>
      <c r="D656" s="1">
        <f>IFERROR(__xludf.DUMMYFUNCTION("""COMPUTED_VALUE"""),346.07)</f>
        <v>346.07</v>
      </c>
      <c r="E656" s="4">
        <f>IFERROR(__xludf.DUMMYFUNCTION("""COMPUTED_VALUE"""),45231.66666666667)</f>
        <v>45231.66667</v>
      </c>
      <c r="F656" s="1">
        <f>IFERROR(__xludf.DUMMYFUNCTION("""COMPUTED_VALUE"""),105.64)</f>
        <v>105.64</v>
      </c>
      <c r="G656" s="4">
        <f>IFERROR(__xludf.DUMMYFUNCTION("""COMPUTED_VALUE"""),45231.66666666667)</f>
        <v>45231.66667</v>
      </c>
      <c r="H656" s="1">
        <f>IFERROR(__xludf.DUMMYFUNCTION("""COMPUTED_VALUE"""),143.98)</f>
        <v>143.98</v>
      </c>
      <c r="I656" s="5">
        <f t="shared" si="1"/>
        <v>0.02069322297</v>
      </c>
      <c r="K656" s="5">
        <f t="shared" si="2"/>
        <v>0.006501574826</v>
      </c>
      <c r="L656" s="5">
        <f t="shared" si="3"/>
        <v>0.03284740629</v>
      </c>
      <c r="M656" s="5">
        <f t="shared" si="4"/>
        <v>0.03319905542</v>
      </c>
      <c r="Q656" s="5"/>
    </row>
    <row r="657">
      <c r="A657" s="4">
        <f>IFERROR(__xludf.DUMMYFUNCTION("""COMPUTED_VALUE"""),45232.66666666667)</f>
        <v>45232.66667</v>
      </c>
      <c r="B657" s="1">
        <f>IFERROR(__xludf.DUMMYFUNCTION("""COMPUTED_VALUE"""),177.57)</f>
        <v>177.57</v>
      </c>
      <c r="C657" s="4">
        <f>IFERROR(__xludf.DUMMYFUNCTION("""COMPUTED_VALUE"""),45232.66666666667)</f>
        <v>45232.66667</v>
      </c>
      <c r="D657" s="1">
        <f>IFERROR(__xludf.DUMMYFUNCTION("""COMPUTED_VALUE"""),348.32)</f>
        <v>348.32</v>
      </c>
      <c r="E657" s="4">
        <f>IFERROR(__xludf.DUMMYFUNCTION("""COMPUTED_VALUE"""),45232.66666666667)</f>
        <v>45232.66667</v>
      </c>
      <c r="F657" s="1">
        <f>IFERROR(__xludf.DUMMYFUNCTION("""COMPUTED_VALUE"""),109.11)</f>
        <v>109.11</v>
      </c>
      <c r="G657" s="4">
        <f>IFERROR(__xludf.DUMMYFUNCTION("""COMPUTED_VALUE"""),45232.66666666667)</f>
        <v>45232.66667</v>
      </c>
      <c r="H657" s="1">
        <f>IFERROR(__xludf.DUMMYFUNCTION("""COMPUTED_VALUE"""),148.76)</f>
        <v>148.76</v>
      </c>
      <c r="I657" s="5">
        <f t="shared" si="1"/>
        <v>-0.005181055358</v>
      </c>
      <c r="K657" s="5">
        <f t="shared" si="2"/>
        <v>0.01286173633</v>
      </c>
      <c r="L657" s="5">
        <f t="shared" si="3"/>
        <v>-0.0121895335</v>
      </c>
      <c r="M657" s="5">
        <f t="shared" si="4"/>
        <v>-0.007730572735</v>
      </c>
      <c r="Q657" s="5"/>
    </row>
    <row r="658">
      <c r="A658" s="4">
        <f>IFERROR(__xludf.DUMMYFUNCTION("""COMPUTED_VALUE"""),45233.66666666667)</f>
        <v>45233.66667</v>
      </c>
      <c r="B658" s="1">
        <f>IFERROR(__xludf.DUMMYFUNCTION("""COMPUTED_VALUE"""),176.65)</f>
        <v>176.65</v>
      </c>
      <c r="C658" s="4">
        <f>IFERROR(__xludf.DUMMYFUNCTION("""COMPUTED_VALUE"""),45233.66666666667)</f>
        <v>45233.66667</v>
      </c>
      <c r="D658" s="1">
        <f>IFERROR(__xludf.DUMMYFUNCTION("""COMPUTED_VALUE"""),352.8)</f>
        <v>352.8</v>
      </c>
      <c r="E658" s="4">
        <f>IFERROR(__xludf.DUMMYFUNCTION("""COMPUTED_VALUE"""),45233.66666666667)</f>
        <v>45233.66667</v>
      </c>
      <c r="F658" s="1">
        <f>IFERROR(__xludf.DUMMYFUNCTION("""COMPUTED_VALUE"""),107.78)</f>
        <v>107.78</v>
      </c>
      <c r="G658" s="4">
        <f>IFERROR(__xludf.DUMMYFUNCTION("""COMPUTED_VALUE"""),45233.66666666667)</f>
        <v>45233.66667</v>
      </c>
      <c r="H658" s="1">
        <f>IFERROR(__xludf.DUMMYFUNCTION("""COMPUTED_VALUE"""),147.61)</f>
        <v>147.61</v>
      </c>
      <c r="I658" s="5">
        <f t="shared" si="1"/>
        <v>0.01460515143</v>
      </c>
      <c r="K658" s="5">
        <f t="shared" si="2"/>
        <v>0.01057256236</v>
      </c>
      <c r="L658" s="5">
        <f t="shared" si="3"/>
        <v>-0.0177212841</v>
      </c>
      <c r="M658" s="5">
        <f t="shared" si="4"/>
        <v>-0.004132511347</v>
      </c>
      <c r="Q658" s="5"/>
    </row>
    <row r="659">
      <c r="A659" s="4">
        <f>IFERROR(__xludf.DUMMYFUNCTION("""COMPUTED_VALUE"""),45236.66666666667)</f>
        <v>45236.66667</v>
      </c>
      <c r="B659" s="1">
        <f>IFERROR(__xludf.DUMMYFUNCTION("""COMPUTED_VALUE"""),179.23)</f>
        <v>179.23</v>
      </c>
      <c r="C659" s="4">
        <f>IFERROR(__xludf.DUMMYFUNCTION("""COMPUTED_VALUE"""),45236.66666666667)</f>
        <v>45236.66667</v>
      </c>
      <c r="D659" s="1">
        <f>IFERROR(__xludf.DUMMYFUNCTION("""COMPUTED_VALUE"""),356.53)</f>
        <v>356.53</v>
      </c>
      <c r="E659" s="4">
        <f>IFERROR(__xludf.DUMMYFUNCTION("""COMPUTED_VALUE"""),45236.66666666667)</f>
        <v>45236.66667</v>
      </c>
      <c r="F659" s="1">
        <f>IFERROR(__xludf.DUMMYFUNCTION("""COMPUTED_VALUE"""),105.87)</f>
        <v>105.87</v>
      </c>
      <c r="G659" s="4">
        <f>IFERROR(__xludf.DUMMYFUNCTION("""COMPUTED_VALUE"""),45236.66666666667)</f>
        <v>45236.66667</v>
      </c>
      <c r="H659" s="1">
        <f>IFERROR(__xludf.DUMMYFUNCTION("""COMPUTED_VALUE"""),147.0)</f>
        <v>147</v>
      </c>
      <c r="I659" s="5">
        <f t="shared" si="1"/>
        <v>0.0144507058</v>
      </c>
      <c r="K659" s="5">
        <f t="shared" si="2"/>
        <v>0.01121925224</v>
      </c>
      <c r="L659" s="5">
        <f t="shared" si="3"/>
        <v>-0.01567960707</v>
      </c>
      <c r="M659" s="5">
        <f t="shared" si="4"/>
        <v>-0.01761904762</v>
      </c>
      <c r="Q659" s="5"/>
    </row>
    <row r="660">
      <c r="A660" s="4">
        <f>IFERROR(__xludf.DUMMYFUNCTION("""COMPUTED_VALUE"""),45237.66666666667)</f>
        <v>45237.66667</v>
      </c>
      <c r="B660" s="1">
        <f>IFERROR(__xludf.DUMMYFUNCTION("""COMPUTED_VALUE"""),181.82)</f>
        <v>181.82</v>
      </c>
      <c r="C660" s="4">
        <f>IFERROR(__xludf.DUMMYFUNCTION("""COMPUTED_VALUE"""),45237.66666666667)</f>
        <v>45237.66667</v>
      </c>
      <c r="D660" s="1">
        <f>IFERROR(__xludf.DUMMYFUNCTION("""COMPUTED_VALUE"""),360.53)</f>
        <v>360.53</v>
      </c>
      <c r="E660" s="4">
        <f>IFERROR(__xludf.DUMMYFUNCTION("""COMPUTED_VALUE"""),45237.66666666667)</f>
        <v>45237.66667</v>
      </c>
      <c r="F660" s="1">
        <f>IFERROR(__xludf.DUMMYFUNCTION("""COMPUTED_VALUE"""),104.21)</f>
        <v>104.21</v>
      </c>
      <c r="G660" s="4">
        <f>IFERROR(__xludf.DUMMYFUNCTION("""COMPUTED_VALUE"""),45237.66666666667)</f>
        <v>45237.66667</v>
      </c>
      <c r="H660" s="1">
        <f>IFERROR(__xludf.DUMMYFUNCTION("""COMPUTED_VALUE"""),144.41)</f>
        <v>144.41</v>
      </c>
      <c r="I660" s="5">
        <f t="shared" si="1"/>
        <v>0.005884941151</v>
      </c>
      <c r="K660" s="5">
        <f t="shared" si="2"/>
        <v>0.007405763737</v>
      </c>
      <c r="L660" s="5">
        <f t="shared" si="3"/>
        <v>-0.01228289032</v>
      </c>
      <c r="M660" s="5">
        <f t="shared" si="4"/>
        <v>-0.01391870369</v>
      </c>
      <c r="Q660" s="5"/>
    </row>
    <row r="661">
      <c r="A661" s="4">
        <f>IFERROR(__xludf.DUMMYFUNCTION("""COMPUTED_VALUE"""),45238.66666666667)</f>
        <v>45238.66667</v>
      </c>
      <c r="B661" s="1">
        <f>IFERROR(__xludf.DUMMYFUNCTION("""COMPUTED_VALUE"""),182.89)</f>
        <v>182.89</v>
      </c>
      <c r="C661" s="4">
        <f>IFERROR(__xludf.DUMMYFUNCTION("""COMPUTED_VALUE"""),45238.66666666667)</f>
        <v>45238.66667</v>
      </c>
      <c r="D661" s="1">
        <f>IFERROR(__xludf.DUMMYFUNCTION("""COMPUTED_VALUE"""),363.2)</f>
        <v>363.2</v>
      </c>
      <c r="E661" s="4">
        <f>IFERROR(__xludf.DUMMYFUNCTION("""COMPUTED_VALUE"""),45238.66666666667)</f>
        <v>45238.66667</v>
      </c>
      <c r="F661" s="1">
        <f>IFERROR(__xludf.DUMMYFUNCTION("""COMPUTED_VALUE"""),102.93)</f>
        <v>102.93</v>
      </c>
      <c r="G661" s="4">
        <f>IFERROR(__xludf.DUMMYFUNCTION("""COMPUTED_VALUE"""),45238.66666666667)</f>
        <v>45238.66667</v>
      </c>
      <c r="H661" s="1">
        <f>IFERROR(__xludf.DUMMYFUNCTION("""COMPUTED_VALUE"""),142.4)</f>
        <v>142.4</v>
      </c>
      <c r="I661" s="5">
        <f t="shared" si="1"/>
        <v>-0.002624528405</v>
      </c>
      <c r="K661" s="5">
        <f t="shared" si="2"/>
        <v>-0.006910792952</v>
      </c>
      <c r="L661" s="5">
        <f t="shared" si="3"/>
        <v>0.0002914602157</v>
      </c>
      <c r="M661" s="5">
        <f t="shared" si="4"/>
        <v>-0.003230337079</v>
      </c>
      <c r="Q661" s="5"/>
    </row>
    <row r="662">
      <c r="A662" s="4">
        <f>IFERROR(__xludf.DUMMYFUNCTION("""COMPUTED_VALUE"""),45239.66666666667)</f>
        <v>45239.66667</v>
      </c>
      <c r="B662" s="1">
        <f>IFERROR(__xludf.DUMMYFUNCTION("""COMPUTED_VALUE"""),182.41)</f>
        <v>182.41</v>
      </c>
      <c r="C662" s="4">
        <f>IFERROR(__xludf.DUMMYFUNCTION("""COMPUTED_VALUE"""),45239.66666666667)</f>
        <v>45239.66667</v>
      </c>
      <c r="D662" s="1">
        <f>IFERROR(__xludf.DUMMYFUNCTION("""COMPUTED_VALUE"""),360.69)</f>
        <v>360.69</v>
      </c>
      <c r="E662" s="4">
        <f>IFERROR(__xludf.DUMMYFUNCTION("""COMPUTED_VALUE"""),45239.66666666667)</f>
        <v>45239.66667</v>
      </c>
      <c r="F662" s="1">
        <f>IFERROR(__xludf.DUMMYFUNCTION("""COMPUTED_VALUE"""),102.96)</f>
        <v>102.96</v>
      </c>
      <c r="G662" s="4">
        <f>IFERROR(__xludf.DUMMYFUNCTION("""COMPUTED_VALUE"""),45239.66666666667)</f>
        <v>45239.66667</v>
      </c>
      <c r="H662" s="1">
        <f>IFERROR(__xludf.DUMMYFUNCTION("""COMPUTED_VALUE"""),141.94)</f>
        <v>141.94</v>
      </c>
      <c r="I662" s="5">
        <f t="shared" si="1"/>
        <v>0.02187380078</v>
      </c>
      <c r="K662" s="5">
        <f t="shared" si="2"/>
        <v>0.02489672572</v>
      </c>
      <c r="L662" s="5">
        <f t="shared" si="3"/>
        <v>0.007672882673</v>
      </c>
      <c r="M662" s="5">
        <f t="shared" si="4"/>
        <v>0.007115682683</v>
      </c>
      <c r="Q662" s="5"/>
    </row>
    <row r="663">
      <c r="A663" s="4">
        <f>IFERROR(__xludf.DUMMYFUNCTION("""COMPUTED_VALUE"""),45240.66666666667)</f>
        <v>45240.66667</v>
      </c>
      <c r="B663" s="1">
        <f>IFERROR(__xludf.DUMMYFUNCTION("""COMPUTED_VALUE"""),186.4)</f>
        <v>186.4</v>
      </c>
      <c r="C663" s="4">
        <f>IFERROR(__xludf.DUMMYFUNCTION("""COMPUTED_VALUE"""),45240.66666666667)</f>
        <v>45240.66667</v>
      </c>
      <c r="D663" s="1">
        <f>IFERROR(__xludf.DUMMYFUNCTION("""COMPUTED_VALUE"""),369.67)</f>
        <v>369.67</v>
      </c>
      <c r="E663" s="4">
        <f>IFERROR(__xludf.DUMMYFUNCTION("""COMPUTED_VALUE"""),45240.66666666667)</f>
        <v>45240.66667</v>
      </c>
      <c r="F663" s="1">
        <f>IFERROR(__xludf.DUMMYFUNCTION("""COMPUTED_VALUE"""),103.75)</f>
        <v>103.75</v>
      </c>
      <c r="G663" s="4">
        <f>IFERROR(__xludf.DUMMYFUNCTION("""COMPUTED_VALUE"""),45240.66666666667)</f>
        <v>45240.66667</v>
      </c>
      <c r="H663" s="1">
        <f>IFERROR(__xludf.DUMMYFUNCTION("""COMPUTED_VALUE"""),142.95)</f>
        <v>142.95</v>
      </c>
      <c r="I663" s="5">
        <f t="shared" si="1"/>
        <v>-0.008583690987</v>
      </c>
      <c r="K663" s="5">
        <f t="shared" si="2"/>
        <v>-0.008088294966</v>
      </c>
      <c r="L663" s="5">
        <f t="shared" si="3"/>
        <v>0.0105060241</v>
      </c>
      <c r="M663" s="5">
        <f t="shared" si="4"/>
        <v>0.007345225603</v>
      </c>
      <c r="Q663" s="5"/>
    </row>
    <row r="664">
      <c r="A664" s="4">
        <f>IFERROR(__xludf.DUMMYFUNCTION("""COMPUTED_VALUE"""),45243.66666666667)</f>
        <v>45243.66667</v>
      </c>
      <c r="B664" s="1">
        <f>IFERROR(__xludf.DUMMYFUNCTION("""COMPUTED_VALUE"""),184.8)</f>
        <v>184.8</v>
      </c>
      <c r="C664" s="4">
        <f>IFERROR(__xludf.DUMMYFUNCTION("""COMPUTED_VALUE"""),45243.66666666667)</f>
        <v>45243.66667</v>
      </c>
      <c r="D664" s="1">
        <f>IFERROR(__xludf.DUMMYFUNCTION("""COMPUTED_VALUE"""),366.68)</f>
        <v>366.68</v>
      </c>
      <c r="E664" s="4">
        <f>IFERROR(__xludf.DUMMYFUNCTION("""COMPUTED_VALUE"""),45243.66666666667)</f>
        <v>45243.66667</v>
      </c>
      <c r="F664" s="1">
        <f>IFERROR(__xludf.DUMMYFUNCTION("""COMPUTED_VALUE"""),104.84)</f>
        <v>104.84</v>
      </c>
      <c r="G664" s="4">
        <f>IFERROR(__xludf.DUMMYFUNCTION("""COMPUTED_VALUE"""),45243.66666666667)</f>
        <v>45243.66667</v>
      </c>
      <c r="H664" s="1">
        <f>IFERROR(__xludf.DUMMYFUNCTION("""COMPUTED_VALUE"""),144.0)</f>
        <v>144</v>
      </c>
      <c r="I664" s="5">
        <f t="shared" si="1"/>
        <v>0.01428571429</v>
      </c>
      <c r="K664" s="5">
        <f t="shared" si="2"/>
        <v>0.009790553071</v>
      </c>
      <c r="L664" s="5">
        <f t="shared" si="3"/>
        <v>-0.005246089279</v>
      </c>
      <c r="M664" s="5">
        <f t="shared" si="4"/>
        <v>0.007291666667</v>
      </c>
      <c r="Q664" s="5"/>
    </row>
    <row r="665">
      <c r="A665" s="4">
        <f>IFERROR(__xludf.DUMMYFUNCTION("""COMPUTED_VALUE"""),45244.66666666667)</f>
        <v>45244.66667</v>
      </c>
      <c r="B665" s="1">
        <f>IFERROR(__xludf.DUMMYFUNCTION("""COMPUTED_VALUE"""),187.44)</f>
        <v>187.44</v>
      </c>
      <c r="C665" s="4">
        <f>IFERROR(__xludf.DUMMYFUNCTION("""COMPUTED_VALUE"""),45244.66666666667)</f>
        <v>45244.66667</v>
      </c>
      <c r="D665" s="1">
        <f>IFERROR(__xludf.DUMMYFUNCTION("""COMPUTED_VALUE"""),370.27)</f>
        <v>370.27</v>
      </c>
      <c r="E665" s="4">
        <f>IFERROR(__xludf.DUMMYFUNCTION("""COMPUTED_VALUE"""),45244.66666666667)</f>
        <v>45244.66667</v>
      </c>
      <c r="F665" s="1">
        <f>IFERROR(__xludf.DUMMYFUNCTION("""COMPUTED_VALUE"""),104.29)</f>
        <v>104.29</v>
      </c>
      <c r="G665" s="4">
        <f>IFERROR(__xludf.DUMMYFUNCTION("""COMPUTED_VALUE"""),45244.66666666667)</f>
        <v>45244.66667</v>
      </c>
      <c r="H665" s="1">
        <f>IFERROR(__xludf.DUMMYFUNCTION("""COMPUTED_VALUE"""),145.05)</f>
        <v>145.05</v>
      </c>
      <c r="I665" s="5">
        <f t="shared" si="1"/>
        <v>0.003040973111</v>
      </c>
      <c r="K665" s="5">
        <f t="shared" si="2"/>
        <v>-0.001620439139</v>
      </c>
      <c r="L665" s="5">
        <f t="shared" si="3"/>
        <v>-0.006040847636</v>
      </c>
      <c r="M665" s="5">
        <f t="shared" si="4"/>
        <v>0.003516028956</v>
      </c>
      <c r="Q665" s="5"/>
    </row>
    <row r="666">
      <c r="A666" s="4">
        <f>IFERROR(__xludf.DUMMYFUNCTION("""COMPUTED_VALUE"""),45245.66666666667)</f>
        <v>45245.66667</v>
      </c>
      <c r="B666" s="1">
        <f>IFERROR(__xludf.DUMMYFUNCTION("""COMPUTED_VALUE"""),188.01)</f>
        <v>188.01</v>
      </c>
      <c r="C666" s="4">
        <f>IFERROR(__xludf.DUMMYFUNCTION("""COMPUTED_VALUE"""),45245.66666666667)</f>
        <v>45245.66667</v>
      </c>
      <c r="D666" s="1">
        <f>IFERROR(__xludf.DUMMYFUNCTION("""COMPUTED_VALUE"""),369.67)</f>
        <v>369.67</v>
      </c>
      <c r="E666" s="4">
        <f>IFERROR(__xludf.DUMMYFUNCTION("""COMPUTED_VALUE"""),45245.66666666667)</f>
        <v>45245.66667</v>
      </c>
      <c r="F666" s="1">
        <f>IFERROR(__xludf.DUMMYFUNCTION("""COMPUTED_VALUE"""),103.66)</f>
        <v>103.66</v>
      </c>
      <c r="G666" s="4">
        <f>IFERROR(__xludf.DUMMYFUNCTION("""COMPUTED_VALUE"""),45245.66666666667)</f>
        <v>45245.66667</v>
      </c>
      <c r="H666" s="1">
        <f>IFERROR(__xludf.DUMMYFUNCTION("""COMPUTED_VALUE"""),145.56)</f>
        <v>145.56</v>
      </c>
      <c r="I666" s="5">
        <f t="shared" si="1"/>
        <v>0.00904207223</v>
      </c>
      <c r="K666" s="5">
        <f t="shared" si="2"/>
        <v>0.01758324993</v>
      </c>
      <c r="L666" s="5">
        <f t="shared" si="3"/>
        <v>-0.01157630716</v>
      </c>
      <c r="M666" s="5">
        <f t="shared" si="4"/>
        <v>-0.0260373729</v>
      </c>
      <c r="Q666" s="5"/>
    </row>
    <row r="667">
      <c r="A667" s="4">
        <f>IFERROR(__xludf.DUMMYFUNCTION("""COMPUTED_VALUE"""),45246.66666666667)</f>
        <v>45246.66667</v>
      </c>
      <c r="B667" s="1">
        <f>IFERROR(__xludf.DUMMYFUNCTION("""COMPUTED_VALUE"""),189.71)</f>
        <v>189.71</v>
      </c>
      <c r="C667" s="4">
        <f>IFERROR(__xludf.DUMMYFUNCTION("""COMPUTED_VALUE"""),45246.66666666667)</f>
        <v>45246.66667</v>
      </c>
      <c r="D667" s="1">
        <f>IFERROR(__xludf.DUMMYFUNCTION("""COMPUTED_VALUE"""),376.17)</f>
        <v>376.17</v>
      </c>
      <c r="E667" s="4">
        <f>IFERROR(__xludf.DUMMYFUNCTION("""COMPUTED_VALUE"""),45246.66666666667)</f>
        <v>45246.66667</v>
      </c>
      <c r="F667" s="1">
        <f>IFERROR(__xludf.DUMMYFUNCTION("""COMPUTED_VALUE"""),102.46)</f>
        <v>102.46</v>
      </c>
      <c r="G667" s="4">
        <f>IFERROR(__xludf.DUMMYFUNCTION("""COMPUTED_VALUE"""),45246.66666666667)</f>
        <v>45246.66667</v>
      </c>
      <c r="H667" s="1">
        <f>IFERROR(__xludf.DUMMYFUNCTION("""COMPUTED_VALUE"""),141.77)</f>
        <v>141.77</v>
      </c>
      <c r="I667" s="5">
        <f t="shared" si="1"/>
        <v>-0.0001054240683</v>
      </c>
      <c r="K667" s="5">
        <f t="shared" si="2"/>
        <v>-0.01680091448</v>
      </c>
      <c r="L667" s="5">
        <f t="shared" si="3"/>
        <v>0.02439976576</v>
      </c>
      <c r="M667" s="5">
        <f t="shared" si="4"/>
        <v>0.01897439515</v>
      </c>
      <c r="Q667" s="5"/>
    </row>
    <row r="668">
      <c r="A668" s="4">
        <f>IFERROR(__xludf.DUMMYFUNCTION("""COMPUTED_VALUE"""),45247.66666666667)</f>
        <v>45247.66667</v>
      </c>
      <c r="B668" s="1">
        <f>IFERROR(__xludf.DUMMYFUNCTION("""COMPUTED_VALUE"""),189.69)</f>
        <v>189.69</v>
      </c>
      <c r="C668" s="4">
        <f>IFERROR(__xludf.DUMMYFUNCTION("""COMPUTED_VALUE"""),45247.66666666667)</f>
        <v>45247.66667</v>
      </c>
      <c r="D668" s="1">
        <f>IFERROR(__xludf.DUMMYFUNCTION("""COMPUTED_VALUE"""),369.85)</f>
        <v>369.85</v>
      </c>
      <c r="E668" s="4">
        <f>IFERROR(__xludf.DUMMYFUNCTION("""COMPUTED_VALUE"""),45247.66666666667)</f>
        <v>45247.66667</v>
      </c>
      <c r="F668" s="1">
        <f>IFERROR(__xludf.DUMMYFUNCTION("""COMPUTED_VALUE"""),104.96)</f>
        <v>104.96</v>
      </c>
      <c r="G668" s="4">
        <f>IFERROR(__xludf.DUMMYFUNCTION("""COMPUTED_VALUE"""),45247.66666666667)</f>
        <v>45247.66667</v>
      </c>
      <c r="H668" s="1">
        <f>IFERROR(__xludf.DUMMYFUNCTION("""COMPUTED_VALUE"""),144.46)</f>
        <v>144.46</v>
      </c>
      <c r="I668" s="5">
        <f t="shared" si="1"/>
        <v>0.009278296167</v>
      </c>
      <c r="K668" s="5">
        <f t="shared" si="2"/>
        <v>0.02052183318</v>
      </c>
      <c r="L668" s="5">
        <f t="shared" si="3"/>
        <v>-0.004382621951</v>
      </c>
      <c r="M668" s="5">
        <f t="shared" si="4"/>
        <v>-0.0005537865153</v>
      </c>
      <c r="Q668" s="5"/>
    </row>
    <row r="669">
      <c r="A669" s="4">
        <f>IFERROR(__xludf.DUMMYFUNCTION("""COMPUTED_VALUE"""),45250.66666666667)</f>
        <v>45250.66667</v>
      </c>
      <c r="B669" s="1">
        <f>IFERROR(__xludf.DUMMYFUNCTION("""COMPUTED_VALUE"""),191.45)</f>
        <v>191.45</v>
      </c>
      <c r="C669" s="4">
        <f>IFERROR(__xludf.DUMMYFUNCTION("""COMPUTED_VALUE"""),45250.66666666667)</f>
        <v>45250.66667</v>
      </c>
      <c r="D669" s="1">
        <f>IFERROR(__xludf.DUMMYFUNCTION("""COMPUTED_VALUE"""),377.44)</f>
        <v>377.44</v>
      </c>
      <c r="E669" s="4">
        <f>IFERROR(__xludf.DUMMYFUNCTION("""COMPUTED_VALUE"""),45250.66666666667)</f>
        <v>45250.66667</v>
      </c>
      <c r="F669" s="1">
        <f>IFERROR(__xludf.DUMMYFUNCTION("""COMPUTED_VALUE"""),104.5)</f>
        <v>104.5</v>
      </c>
      <c r="G669" s="4">
        <f>IFERROR(__xludf.DUMMYFUNCTION("""COMPUTED_VALUE"""),45250.66666666667)</f>
        <v>45250.66667</v>
      </c>
      <c r="H669" s="1">
        <f>IFERROR(__xludf.DUMMYFUNCTION("""COMPUTED_VALUE"""),144.38)</f>
        <v>144.38</v>
      </c>
      <c r="I669" s="5">
        <f t="shared" si="1"/>
        <v>-0.004230869679</v>
      </c>
      <c r="K669" s="5">
        <f t="shared" si="2"/>
        <v>-0.01157799915</v>
      </c>
      <c r="L669" s="5">
        <f t="shared" si="3"/>
        <v>-0.0003827751196</v>
      </c>
      <c r="M669" s="5">
        <f t="shared" si="4"/>
        <v>-0.0023548968</v>
      </c>
      <c r="Q669" s="5"/>
    </row>
    <row r="670">
      <c r="A670" s="4">
        <f>IFERROR(__xludf.DUMMYFUNCTION("""COMPUTED_VALUE"""),45251.66666666667)</f>
        <v>45251.66667</v>
      </c>
      <c r="B670" s="1">
        <f>IFERROR(__xludf.DUMMYFUNCTION("""COMPUTED_VALUE"""),190.64)</f>
        <v>190.64</v>
      </c>
      <c r="C670" s="4">
        <f>IFERROR(__xludf.DUMMYFUNCTION("""COMPUTED_VALUE"""),45251.66666666667)</f>
        <v>45251.66667</v>
      </c>
      <c r="D670" s="1">
        <f>IFERROR(__xludf.DUMMYFUNCTION("""COMPUTED_VALUE"""),373.07)</f>
        <v>373.07</v>
      </c>
      <c r="E670" s="4">
        <f>IFERROR(__xludf.DUMMYFUNCTION("""COMPUTED_VALUE"""),45251.66666666667)</f>
        <v>45251.66667</v>
      </c>
      <c r="F670" s="1">
        <f>IFERROR(__xludf.DUMMYFUNCTION("""COMPUTED_VALUE"""),104.46)</f>
        <v>104.46</v>
      </c>
      <c r="G670" s="4">
        <f>IFERROR(__xludf.DUMMYFUNCTION("""COMPUTED_VALUE"""),45251.66666666667)</f>
        <v>45251.66667</v>
      </c>
      <c r="H670" s="1">
        <f>IFERROR(__xludf.DUMMYFUNCTION("""COMPUTED_VALUE"""),144.04)</f>
        <v>144.04</v>
      </c>
      <c r="I670" s="5">
        <f t="shared" si="1"/>
        <v>0.003514477549</v>
      </c>
      <c r="K670" s="5">
        <f t="shared" si="2"/>
        <v>0.01281260889</v>
      </c>
      <c r="L670" s="5">
        <f t="shared" si="3"/>
        <v>-0.004307869041</v>
      </c>
      <c r="M670" s="5">
        <f t="shared" si="4"/>
        <v>0.002013329631</v>
      </c>
      <c r="Q670" s="5"/>
    </row>
    <row r="671">
      <c r="A671" s="4">
        <f>IFERROR(__xludf.DUMMYFUNCTION("""COMPUTED_VALUE"""),45252.66666666667)</f>
        <v>45252.66667</v>
      </c>
      <c r="B671" s="1">
        <f>IFERROR(__xludf.DUMMYFUNCTION("""COMPUTED_VALUE"""),191.31)</f>
        <v>191.31</v>
      </c>
      <c r="C671" s="4">
        <f>IFERROR(__xludf.DUMMYFUNCTION("""COMPUTED_VALUE"""),45252.66666666667)</f>
        <v>45252.66667</v>
      </c>
      <c r="D671" s="1">
        <f>IFERROR(__xludf.DUMMYFUNCTION("""COMPUTED_VALUE"""),377.85)</f>
        <v>377.85</v>
      </c>
      <c r="E671" s="4">
        <f>IFERROR(__xludf.DUMMYFUNCTION("""COMPUTED_VALUE"""),45252.66666666667)</f>
        <v>45252.66667</v>
      </c>
      <c r="F671" s="1">
        <f>IFERROR(__xludf.DUMMYFUNCTION("""COMPUTED_VALUE"""),104.01)</f>
        <v>104.01</v>
      </c>
      <c r="G671" s="4">
        <f>IFERROR(__xludf.DUMMYFUNCTION("""COMPUTED_VALUE"""),45252.66666666667)</f>
        <v>45252.66667</v>
      </c>
      <c r="H671" s="1">
        <f>IFERROR(__xludf.DUMMYFUNCTION("""COMPUTED_VALUE"""),144.33)</f>
        <v>144.33</v>
      </c>
      <c r="I671" s="5">
        <f t="shared" si="1"/>
        <v>-0.007004338508</v>
      </c>
      <c r="K671" s="5">
        <f t="shared" si="2"/>
        <v>-0.001111552203</v>
      </c>
      <c r="L671" s="5">
        <f t="shared" si="3"/>
        <v>0.005384097683</v>
      </c>
      <c r="M671" s="5">
        <f t="shared" si="4"/>
        <v>0.003949282893</v>
      </c>
      <c r="Q671" s="5"/>
    </row>
    <row r="672">
      <c r="A672" s="4">
        <f>IFERROR(__xludf.DUMMYFUNCTION("""COMPUTED_VALUE"""),45254.54513888889)</f>
        <v>45254.54514</v>
      </c>
      <c r="B672" s="1">
        <f>IFERROR(__xludf.DUMMYFUNCTION("""COMPUTED_VALUE"""),189.97)</f>
        <v>189.97</v>
      </c>
      <c r="C672" s="4">
        <f>IFERROR(__xludf.DUMMYFUNCTION("""COMPUTED_VALUE"""),45254.54513888889)</f>
        <v>45254.54514</v>
      </c>
      <c r="D672" s="1">
        <f>IFERROR(__xludf.DUMMYFUNCTION("""COMPUTED_VALUE"""),377.43)</f>
        <v>377.43</v>
      </c>
      <c r="E672" s="4">
        <f>IFERROR(__xludf.DUMMYFUNCTION("""COMPUTED_VALUE"""),45254.54166666667)</f>
        <v>45254.54167</v>
      </c>
      <c r="F672" s="1">
        <f>IFERROR(__xludf.DUMMYFUNCTION("""COMPUTED_VALUE"""),104.57)</f>
        <v>104.57</v>
      </c>
      <c r="G672" s="4">
        <f>IFERROR(__xludf.DUMMYFUNCTION("""COMPUTED_VALUE"""),45254.54166666667)</f>
        <v>45254.54167</v>
      </c>
      <c r="H672" s="1">
        <f>IFERROR(__xludf.DUMMYFUNCTION("""COMPUTED_VALUE"""),144.9)</f>
        <v>144.9</v>
      </c>
      <c r="I672" s="5">
        <f t="shared" si="1"/>
        <v>-0.0009475180292</v>
      </c>
      <c r="K672" s="5">
        <f t="shared" si="2"/>
        <v>0.003126407546</v>
      </c>
      <c r="L672" s="5">
        <f t="shared" si="3"/>
        <v>-0.005833413025</v>
      </c>
      <c r="M672" s="5">
        <f t="shared" si="4"/>
        <v>-0.003726708075</v>
      </c>
      <c r="Q672" s="5"/>
    </row>
    <row r="673">
      <c r="A673" s="4">
        <f>IFERROR(__xludf.DUMMYFUNCTION("""COMPUTED_VALUE"""),45257.66666666667)</f>
        <v>45257.66667</v>
      </c>
      <c r="B673" s="1">
        <f>IFERROR(__xludf.DUMMYFUNCTION("""COMPUTED_VALUE"""),189.79)</f>
        <v>189.79</v>
      </c>
      <c r="C673" s="4">
        <f>IFERROR(__xludf.DUMMYFUNCTION("""COMPUTED_VALUE"""),45257.66666666667)</f>
        <v>45257.66667</v>
      </c>
      <c r="D673" s="1">
        <f>IFERROR(__xludf.DUMMYFUNCTION("""COMPUTED_VALUE"""),378.61)</f>
        <v>378.61</v>
      </c>
      <c r="E673" s="4">
        <f>IFERROR(__xludf.DUMMYFUNCTION("""COMPUTED_VALUE"""),45257.66666666667)</f>
        <v>45257.66667</v>
      </c>
      <c r="F673" s="1">
        <f>IFERROR(__xludf.DUMMYFUNCTION("""COMPUTED_VALUE"""),103.96)</f>
        <v>103.96</v>
      </c>
      <c r="G673" s="4">
        <f>IFERROR(__xludf.DUMMYFUNCTION("""COMPUTED_VALUE"""),45257.66666666667)</f>
        <v>45257.66667</v>
      </c>
      <c r="H673" s="1">
        <f>IFERROR(__xludf.DUMMYFUNCTION("""COMPUTED_VALUE"""),144.36)</f>
        <v>144.36</v>
      </c>
      <c r="I673" s="5">
        <f t="shared" si="1"/>
        <v>0.003214078719</v>
      </c>
      <c r="K673" s="5">
        <f t="shared" si="2"/>
        <v>0.01080267294</v>
      </c>
      <c r="L673" s="5">
        <f t="shared" si="3"/>
        <v>-0.0005771450558</v>
      </c>
      <c r="M673" s="5">
        <f t="shared" si="4"/>
        <v>0.007966195622</v>
      </c>
      <c r="Q673" s="5"/>
    </row>
    <row r="674">
      <c r="A674" s="4">
        <f>IFERROR(__xludf.DUMMYFUNCTION("""COMPUTED_VALUE"""),45258.66666666667)</f>
        <v>45258.66667</v>
      </c>
      <c r="B674" s="1">
        <f>IFERROR(__xludf.DUMMYFUNCTION("""COMPUTED_VALUE"""),190.4)</f>
        <v>190.4</v>
      </c>
      <c r="C674" s="4">
        <f>IFERROR(__xludf.DUMMYFUNCTION("""COMPUTED_VALUE"""),45258.66666666667)</f>
        <v>45258.66667</v>
      </c>
      <c r="D674" s="1">
        <f>IFERROR(__xludf.DUMMYFUNCTION("""COMPUTED_VALUE"""),382.7)</f>
        <v>382.7</v>
      </c>
      <c r="E674" s="4">
        <f>IFERROR(__xludf.DUMMYFUNCTION("""COMPUTED_VALUE"""),45258.66666666667)</f>
        <v>45258.66667</v>
      </c>
      <c r="F674" s="1">
        <f>IFERROR(__xludf.DUMMYFUNCTION("""COMPUTED_VALUE"""),103.9)</f>
        <v>103.9</v>
      </c>
      <c r="G674" s="4">
        <f>IFERROR(__xludf.DUMMYFUNCTION("""COMPUTED_VALUE"""),45258.66666666667)</f>
        <v>45258.66667</v>
      </c>
      <c r="H674" s="1">
        <f>IFERROR(__xludf.DUMMYFUNCTION("""COMPUTED_VALUE"""),145.51)</f>
        <v>145.51</v>
      </c>
      <c r="I674" s="5">
        <f t="shared" si="1"/>
        <v>-0.005409663866</v>
      </c>
      <c r="K674" s="5">
        <f t="shared" si="2"/>
        <v>-0.01006009929</v>
      </c>
      <c r="L674" s="5">
        <f t="shared" si="3"/>
        <v>-0.01501443696</v>
      </c>
      <c r="M674" s="5">
        <f t="shared" si="4"/>
        <v>-0.01099580785</v>
      </c>
      <c r="Q674" s="5"/>
    </row>
    <row r="675">
      <c r="A675" s="4">
        <f>IFERROR(__xludf.DUMMYFUNCTION("""COMPUTED_VALUE"""),45259.66666666667)</f>
        <v>45259.66667</v>
      </c>
      <c r="B675" s="1">
        <f>IFERROR(__xludf.DUMMYFUNCTION("""COMPUTED_VALUE"""),189.37)</f>
        <v>189.37</v>
      </c>
      <c r="C675" s="4">
        <f>IFERROR(__xludf.DUMMYFUNCTION("""COMPUTED_VALUE"""),45259.66666666667)</f>
        <v>45259.66667</v>
      </c>
      <c r="D675" s="1">
        <f>IFERROR(__xludf.DUMMYFUNCTION("""COMPUTED_VALUE"""),378.85)</f>
        <v>378.85</v>
      </c>
      <c r="E675" s="4">
        <f>IFERROR(__xludf.DUMMYFUNCTION("""COMPUTED_VALUE"""),45259.66666666667)</f>
        <v>45259.66667</v>
      </c>
      <c r="F675" s="1">
        <f>IFERROR(__xludf.DUMMYFUNCTION("""COMPUTED_VALUE"""),102.34)</f>
        <v>102.34</v>
      </c>
      <c r="G675" s="4">
        <f>IFERROR(__xludf.DUMMYFUNCTION("""COMPUTED_VALUE"""),45259.66666666667)</f>
        <v>45259.66667</v>
      </c>
      <c r="H675" s="1">
        <f>IFERROR(__xludf.DUMMYFUNCTION("""COMPUTED_VALUE"""),143.91)</f>
        <v>143.91</v>
      </c>
      <c r="I675" s="5">
        <f t="shared" si="1"/>
        <v>0.003062787136</v>
      </c>
      <c r="K675" s="5">
        <f t="shared" si="2"/>
        <v>0.0001583740267</v>
      </c>
      <c r="L675" s="5">
        <f t="shared" si="3"/>
        <v>0.00390854016</v>
      </c>
      <c r="M675" s="5">
        <f t="shared" si="4"/>
        <v>-0.002154124105</v>
      </c>
      <c r="Q675" s="5"/>
    </row>
    <row r="676">
      <c r="A676" s="4">
        <f>IFERROR(__xludf.DUMMYFUNCTION("""COMPUTED_VALUE"""),45260.66666666667)</f>
        <v>45260.66667</v>
      </c>
      <c r="B676" s="1">
        <f>IFERROR(__xludf.DUMMYFUNCTION("""COMPUTED_VALUE"""),189.95)</f>
        <v>189.95</v>
      </c>
      <c r="C676" s="4">
        <f>IFERROR(__xludf.DUMMYFUNCTION("""COMPUTED_VALUE"""),45260.66666666667)</f>
        <v>45260.66667</v>
      </c>
      <c r="D676" s="1">
        <f>IFERROR(__xludf.DUMMYFUNCTION("""COMPUTED_VALUE"""),378.91)</f>
        <v>378.91</v>
      </c>
      <c r="E676" s="4">
        <f>IFERROR(__xludf.DUMMYFUNCTION("""COMPUTED_VALUE"""),45260.66666666667)</f>
        <v>45260.66667</v>
      </c>
      <c r="F676" s="1">
        <f>IFERROR(__xludf.DUMMYFUNCTION("""COMPUTED_VALUE"""),102.74)</f>
        <v>102.74</v>
      </c>
      <c r="G676" s="4">
        <f>IFERROR(__xludf.DUMMYFUNCTION("""COMPUTED_VALUE"""),45260.66666666667)</f>
        <v>45260.66667</v>
      </c>
      <c r="H676" s="1">
        <f>IFERROR(__xludf.DUMMYFUNCTION("""COMPUTED_VALUE"""),143.6)</f>
        <v>143.6</v>
      </c>
      <c r="I676" s="5">
        <f t="shared" si="1"/>
        <v>0.006791260858</v>
      </c>
      <c r="K676" s="5">
        <f t="shared" si="2"/>
        <v>-0.01161225621</v>
      </c>
      <c r="L676" s="5">
        <f t="shared" si="3"/>
        <v>0.002433326844</v>
      </c>
      <c r="M676" s="5">
        <f t="shared" si="4"/>
        <v>0.008426183844</v>
      </c>
      <c r="Q676" s="5"/>
    </row>
    <row r="677">
      <c r="A677" s="4">
        <f>IFERROR(__xludf.DUMMYFUNCTION("""COMPUTED_VALUE"""),45261.66666666667)</f>
        <v>45261.66667</v>
      </c>
      <c r="B677" s="1">
        <f>IFERROR(__xludf.DUMMYFUNCTION("""COMPUTED_VALUE"""),191.24)</f>
        <v>191.24</v>
      </c>
      <c r="C677" s="4">
        <f>IFERROR(__xludf.DUMMYFUNCTION("""COMPUTED_VALUE"""),45261.66666666667)</f>
        <v>45261.66667</v>
      </c>
      <c r="D677" s="1">
        <f>IFERROR(__xludf.DUMMYFUNCTION("""COMPUTED_VALUE"""),374.51)</f>
        <v>374.51</v>
      </c>
      <c r="E677" s="4">
        <f>IFERROR(__xludf.DUMMYFUNCTION("""COMPUTED_VALUE"""),45261.66666666667)</f>
        <v>45261.66667</v>
      </c>
      <c r="F677" s="1">
        <f>IFERROR(__xludf.DUMMYFUNCTION("""COMPUTED_VALUE"""),102.99)</f>
        <v>102.99</v>
      </c>
      <c r="G677" s="4">
        <f>IFERROR(__xludf.DUMMYFUNCTION("""COMPUTED_VALUE"""),45261.66666666667)</f>
        <v>45261.66667</v>
      </c>
      <c r="H677" s="1">
        <f>IFERROR(__xludf.DUMMYFUNCTION("""COMPUTED_VALUE"""),144.81)</f>
        <v>144.81</v>
      </c>
      <c r="I677" s="5">
        <f t="shared" si="1"/>
        <v>-0.009464547166</v>
      </c>
      <c r="K677" s="5">
        <f t="shared" si="2"/>
        <v>-0.01433873595</v>
      </c>
      <c r="L677" s="5">
        <f t="shared" si="3"/>
        <v>-0.005437421109</v>
      </c>
      <c r="M677" s="5">
        <f t="shared" si="4"/>
        <v>0.0004143360265</v>
      </c>
      <c r="Q677" s="5"/>
    </row>
    <row r="678">
      <c r="A678" s="4">
        <f>IFERROR(__xludf.DUMMYFUNCTION("""COMPUTED_VALUE"""),45264.66666666667)</f>
        <v>45264.66667</v>
      </c>
      <c r="B678" s="1">
        <f>IFERROR(__xludf.DUMMYFUNCTION("""COMPUTED_VALUE"""),189.43)</f>
        <v>189.43</v>
      </c>
      <c r="C678" s="4">
        <f>IFERROR(__xludf.DUMMYFUNCTION("""COMPUTED_VALUE"""),45264.66666666667)</f>
        <v>45264.66667</v>
      </c>
      <c r="D678" s="1">
        <f>IFERROR(__xludf.DUMMYFUNCTION("""COMPUTED_VALUE"""),369.14)</f>
        <v>369.14</v>
      </c>
      <c r="E678" s="4">
        <f>IFERROR(__xludf.DUMMYFUNCTION("""COMPUTED_VALUE"""),45264.66666666667)</f>
        <v>45264.66667</v>
      </c>
      <c r="F678" s="1">
        <f>IFERROR(__xludf.DUMMYFUNCTION("""COMPUTED_VALUE"""),102.43)</f>
        <v>102.43</v>
      </c>
      <c r="G678" s="4">
        <f>IFERROR(__xludf.DUMMYFUNCTION("""COMPUTED_VALUE"""),45264.66666666667)</f>
        <v>45264.66667</v>
      </c>
      <c r="H678" s="1">
        <f>IFERROR(__xludf.DUMMYFUNCTION("""COMPUTED_VALUE"""),144.87)</f>
        <v>144.87</v>
      </c>
      <c r="I678" s="5">
        <f t="shared" si="1"/>
        <v>0.02106318957</v>
      </c>
      <c r="K678" s="5">
        <f t="shared" si="2"/>
        <v>0.009156417619</v>
      </c>
      <c r="L678" s="5">
        <f t="shared" si="3"/>
        <v>-0.01942790198</v>
      </c>
      <c r="M678" s="5">
        <f t="shared" si="4"/>
        <v>-0.01387450818</v>
      </c>
      <c r="Q678" s="5"/>
    </row>
    <row r="679">
      <c r="A679" s="4">
        <f>IFERROR(__xludf.DUMMYFUNCTION("""COMPUTED_VALUE"""),45265.66666666667)</f>
        <v>45265.66667</v>
      </c>
      <c r="B679" s="1">
        <f>IFERROR(__xludf.DUMMYFUNCTION("""COMPUTED_VALUE"""),193.42)</f>
        <v>193.42</v>
      </c>
      <c r="C679" s="4">
        <f>IFERROR(__xludf.DUMMYFUNCTION("""COMPUTED_VALUE"""),45265.66666666667)</f>
        <v>45265.66667</v>
      </c>
      <c r="D679" s="1">
        <f>IFERROR(__xludf.DUMMYFUNCTION("""COMPUTED_VALUE"""),372.52)</f>
        <v>372.52</v>
      </c>
      <c r="E679" s="4">
        <f>IFERROR(__xludf.DUMMYFUNCTION("""COMPUTED_VALUE"""),45265.66666666667)</f>
        <v>45265.66667</v>
      </c>
      <c r="F679" s="1">
        <f>IFERROR(__xludf.DUMMYFUNCTION("""COMPUTED_VALUE"""),100.44)</f>
        <v>100.44</v>
      </c>
      <c r="G679" s="4">
        <f>IFERROR(__xludf.DUMMYFUNCTION("""COMPUTED_VALUE"""),45265.66666666667)</f>
        <v>45265.66667</v>
      </c>
      <c r="H679" s="1">
        <f>IFERROR(__xludf.DUMMYFUNCTION("""COMPUTED_VALUE"""),142.86)</f>
        <v>142.86</v>
      </c>
      <c r="I679" s="5">
        <f t="shared" si="1"/>
        <v>-0.00568710578</v>
      </c>
      <c r="K679" s="5">
        <f t="shared" si="2"/>
        <v>-0.009986041018</v>
      </c>
      <c r="L679" s="5">
        <f t="shared" si="3"/>
        <v>-0.01324173636</v>
      </c>
      <c r="M679" s="5">
        <f t="shared" si="4"/>
        <v>-0.002309953801</v>
      </c>
      <c r="Q679" s="5"/>
    </row>
    <row r="680">
      <c r="A680" s="4">
        <f>IFERROR(__xludf.DUMMYFUNCTION("""COMPUTED_VALUE"""),45266.66666666667)</f>
        <v>45266.66667</v>
      </c>
      <c r="B680" s="1">
        <f>IFERROR(__xludf.DUMMYFUNCTION("""COMPUTED_VALUE"""),192.32)</f>
        <v>192.32</v>
      </c>
      <c r="C680" s="4">
        <f>IFERROR(__xludf.DUMMYFUNCTION("""COMPUTED_VALUE"""),45266.66666666667)</f>
        <v>45266.66667</v>
      </c>
      <c r="D680" s="1">
        <f>IFERROR(__xludf.DUMMYFUNCTION("""COMPUTED_VALUE"""),368.8)</f>
        <v>368.8</v>
      </c>
      <c r="E680" s="4">
        <f>IFERROR(__xludf.DUMMYFUNCTION("""COMPUTED_VALUE"""),45266.66666666667)</f>
        <v>45266.66667</v>
      </c>
      <c r="F680" s="1">
        <f>IFERROR(__xludf.DUMMYFUNCTION("""COMPUTED_VALUE"""),99.11)</f>
        <v>99.11</v>
      </c>
      <c r="G680" s="4">
        <f>IFERROR(__xludf.DUMMYFUNCTION("""COMPUTED_VALUE"""),45266.66666666667)</f>
        <v>45266.66667</v>
      </c>
      <c r="H680" s="1">
        <f>IFERROR(__xludf.DUMMYFUNCTION("""COMPUTED_VALUE"""),142.53)</f>
        <v>142.53</v>
      </c>
      <c r="I680" s="5">
        <f t="shared" si="1"/>
        <v>0.01013935108</v>
      </c>
      <c r="K680" s="5">
        <f t="shared" si="2"/>
        <v>0.005829718004</v>
      </c>
      <c r="L680" s="5">
        <f t="shared" si="3"/>
        <v>-0.006961961457</v>
      </c>
      <c r="M680" s="5">
        <f t="shared" si="4"/>
        <v>-0.0007717673472</v>
      </c>
      <c r="Q680" s="5"/>
    </row>
    <row r="681">
      <c r="A681" s="4">
        <f>IFERROR(__xludf.DUMMYFUNCTION("""COMPUTED_VALUE"""),45267.66666666667)</f>
        <v>45267.66667</v>
      </c>
      <c r="B681" s="1">
        <f>IFERROR(__xludf.DUMMYFUNCTION("""COMPUTED_VALUE"""),194.27)</f>
        <v>194.27</v>
      </c>
      <c r="C681" s="4">
        <f>IFERROR(__xludf.DUMMYFUNCTION("""COMPUTED_VALUE"""),45267.66666666667)</f>
        <v>45267.66667</v>
      </c>
      <c r="D681" s="1">
        <f>IFERROR(__xludf.DUMMYFUNCTION("""COMPUTED_VALUE"""),370.95)</f>
        <v>370.95</v>
      </c>
      <c r="E681" s="4">
        <f>IFERROR(__xludf.DUMMYFUNCTION("""COMPUTED_VALUE"""),45267.66666666667)</f>
        <v>45267.66667</v>
      </c>
      <c r="F681" s="1">
        <f>IFERROR(__xludf.DUMMYFUNCTION("""COMPUTED_VALUE"""),98.42)</f>
        <v>98.42</v>
      </c>
      <c r="G681" s="4">
        <f>IFERROR(__xludf.DUMMYFUNCTION("""COMPUTED_VALUE"""),45267.66666666667)</f>
        <v>45267.66667</v>
      </c>
      <c r="H681" s="1">
        <f>IFERROR(__xludf.DUMMYFUNCTION("""COMPUTED_VALUE"""),142.42)</f>
        <v>142.42</v>
      </c>
      <c r="I681" s="5">
        <f t="shared" si="1"/>
        <v>0.007412364235</v>
      </c>
      <c r="K681" s="5">
        <f t="shared" si="2"/>
        <v>0.008842162016</v>
      </c>
      <c r="L681" s="5">
        <f t="shared" si="3"/>
        <v>0.01148140622</v>
      </c>
      <c r="M681" s="5">
        <f t="shared" si="4"/>
        <v>0.01327060806</v>
      </c>
      <c r="Q681" s="5"/>
    </row>
    <row r="682">
      <c r="A682" s="4">
        <f>IFERROR(__xludf.DUMMYFUNCTION("""COMPUTED_VALUE"""),45268.66666666667)</f>
        <v>45268.66667</v>
      </c>
      <c r="B682" s="1">
        <f>IFERROR(__xludf.DUMMYFUNCTION("""COMPUTED_VALUE"""),195.71)</f>
        <v>195.71</v>
      </c>
      <c r="C682" s="4">
        <f>IFERROR(__xludf.DUMMYFUNCTION("""COMPUTED_VALUE"""),45268.66666666667)</f>
        <v>45268.66667</v>
      </c>
      <c r="D682" s="1">
        <f>IFERROR(__xludf.DUMMYFUNCTION("""COMPUTED_VALUE"""),374.23)</f>
        <v>374.23</v>
      </c>
      <c r="E682" s="4">
        <f>IFERROR(__xludf.DUMMYFUNCTION("""COMPUTED_VALUE"""),45268.66666666667)</f>
        <v>45268.66667</v>
      </c>
      <c r="F682" s="1">
        <f>IFERROR(__xludf.DUMMYFUNCTION("""COMPUTED_VALUE"""),99.55)</f>
        <v>99.55</v>
      </c>
      <c r="G682" s="4">
        <f>IFERROR(__xludf.DUMMYFUNCTION("""COMPUTED_VALUE"""),45268.66666666667)</f>
        <v>45268.66667</v>
      </c>
      <c r="H682" s="1">
        <f>IFERROR(__xludf.DUMMYFUNCTION("""COMPUTED_VALUE"""),144.31)</f>
        <v>144.31</v>
      </c>
      <c r="I682" s="5">
        <f t="shared" si="1"/>
        <v>-0.01292729038</v>
      </c>
      <c r="K682" s="5">
        <f t="shared" si="2"/>
        <v>-0.007829409721</v>
      </c>
      <c r="L682" s="5">
        <f t="shared" si="3"/>
        <v>0.0007031642391</v>
      </c>
      <c r="M682" s="5">
        <f t="shared" si="4"/>
        <v>0.0002771810685</v>
      </c>
      <c r="Q682" s="5"/>
    </row>
    <row r="683">
      <c r="A683" s="4">
        <f>IFERROR(__xludf.DUMMYFUNCTION("""COMPUTED_VALUE"""),45271.66666666667)</f>
        <v>45271.66667</v>
      </c>
      <c r="B683" s="1">
        <f>IFERROR(__xludf.DUMMYFUNCTION("""COMPUTED_VALUE"""),193.18)</f>
        <v>193.18</v>
      </c>
      <c r="C683" s="4">
        <f>IFERROR(__xludf.DUMMYFUNCTION("""COMPUTED_VALUE"""),45271.66666666667)</f>
        <v>45271.66667</v>
      </c>
      <c r="D683" s="1">
        <f>IFERROR(__xludf.DUMMYFUNCTION("""COMPUTED_VALUE"""),371.3)</f>
        <v>371.3</v>
      </c>
      <c r="E683" s="4">
        <f>IFERROR(__xludf.DUMMYFUNCTION("""COMPUTED_VALUE"""),45271.66666666667)</f>
        <v>45271.66667</v>
      </c>
      <c r="F683" s="1">
        <f>IFERROR(__xludf.DUMMYFUNCTION("""COMPUTED_VALUE"""),99.62)</f>
        <v>99.62</v>
      </c>
      <c r="G683" s="4">
        <f>IFERROR(__xludf.DUMMYFUNCTION("""COMPUTED_VALUE"""),45271.66666666667)</f>
        <v>45271.66667</v>
      </c>
      <c r="H683" s="1">
        <f>IFERROR(__xludf.DUMMYFUNCTION("""COMPUTED_VALUE"""),144.35)</f>
        <v>144.35</v>
      </c>
      <c r="I683" s="5">
        <f t="shared" si="1"/>
        <v>0.007920074542</v>
      </c>
      <c r="K683" s="5">
        <f t="shared" si="2"/>
        <v>0.0082951791</v>
      </c>
      <c r="L683" s="5">
        <f t="shared" si="3"/>
        <v>-0.01575988757</v>
      </c>
      <c r="M683" s="5">
        <f t="shared" si="4"/>
        <v>-0.01281607205</v>
      </c>
      <c r="Q683" s="5"/>
    </row>
    <row r="684">
      <c r="A684" s="4">
        <f>IFERROR(__xludf.DUMMYFUNCTION("""COMPUTED_VALUE"""),45272.66666666667)</f>
        <v>45272.66667</v>
      </c>
      <c r="B684" s="1">
        <f>IFERROR(__xludf.DUMMYFUNCTION("""COMPUTED_VALUE"""),194.71)</f>
        <v>194.71</v>
      </c>
      <c r="C684" s="4">
        <f>IFERROR(__xludf.DUMMYFUNCTION("""COMPUTED_VALUE"""),45272.66666666667)</f>
        <v>45272.66667</v>
      </c>
      <c r="D684" s="1">
        <f>IFERROR(__xludf.DUMMYFUNCTION("""COMPUTED_VALUE"""),374.38)</f>
        <v>374.38</v>
      </c>
      <c r="E684" s="4">
        <f>IFERROR(__xludf.DUMMYFUNCTION("""COMPUTED_VALUE"""),45272.66666666667)</f>
        <v>45272.66667</v>
      </c>
      <c r="F684" s="1">
        <f>IFERROR(__xludf.DUMMYFUNCTION("""COMPUTED_VALUE"""),98.05)</f>
        <v>98.05</v>
      </c>
      <c r="G684" s="4">
        <f>IFERROR(__xludf.DUMMYFUNCTION("""COMPUTED_VALUE"""),45272.66666666667)</f>
        <v>45272.66667</v>
      </c>
      <c r="H684" s="1">
        <f>IFERROR(__xludf.DUMMYFUNCTION("""COMPUTED_VALUE"""),142.5)</f>
        <v>142.5</v>
      </c>
      <c r="I684" s="5">
        <f t="shared" si="1"/>
        <v>0.01669148991</v>
      </c>
      <c r="K684" s="5">
        <f t="shared" si="2"/>
        <v>-0.00002671082857</v>
      </c>
      <c r="L684" s="5">
        <f t="shared" si="3"/>
        <v>0.008873023967</v>
      </c>
      <c r="M684" s="5">
        <f t="shared" si="4"/>
        <v>0.01480701754</v>
      </c>
      <c r="Q684" s="5"/>
    </row>
    <row r="685">
      <c r="A685" s="4">
        <f>IFERROR(__xludf.DUMMYFUNCTION("""COMPUTED_VALUE"""),45273.66666666667)</f>
        <v>45273.66667</v>
      </c>
      <c r="B685" s="1">
        <f>IFERROR(__xludf.DUMMYFUNCTION("""COMPUTED_VALUE"""),197.96)</f>
        <v>197.96</v>
      </c>
      <c r="C685" s="4">
        <f>IFERROR(__xludf.DUMMYFUNCTION("""COMPUTED_VALUE"""),45273.66666666667)</f>
        <v>45273.66667</v>
      </c>
      <c r="D685" s="1">
        <f>IFERROR(__xludf.DUMMYFUNCTION("""COMPUTED_VALUE"""),374.37)</f>
        <v>374.37</v>
      </c>
      <c r="E685" s="4">
        <f>IFERROR(__xludf.DUMMYFUNCTION("""COMPUTED_VALUE"""),45273.66666666667)</f>
        <v>45273.66667</v>
      </c>
      <c r="F685" s="1">
        <f>IFERROR(__xludf.DUMMYFUNCTION("""COMPUTED_VALUE"""),98.92)</f>
        <v>98.92</v>
      </c>
      <c r="G685" s="4">
        <f>IFERROR(__xludf.DUMMYFUNCTION("""COMPUTED_VALUE"""),45273.66666666667)</f>
        <v>45273.66667</v>
      </c>
      <c r="H685" s="1">
        <f>IFERROR(__xludf.DUMMYFUNCTION("""COMPUTED_VALUE"""),144.61)</f>
        <v>144.61</v>
      </c>
      <c r="I685" s="5">
        <f t="shared" si="1"/>
        <v>0.0007577288341</v>
      </c>
      <c r="K685" s="5">
        <f t="shared" si="2"/>
        <v>-0.0225445415</v>
      </c>
      <c r="L685" s="5">
        <f t="shared" si="3"/>
        <v>0.0268904165</v>
      </c>
      <c r="M685" s="5">
        <f t="shared" si="4"/>
        <v>0.03678860383</v>
      </c>
      <c r="Q685" s="5"/>
    </row>
    <row r="686">
      <c r="A686" s="4">
        <f>IFERROR(__xludf.DUMMYFUNCTION("""COMPUTED_VALUE"""),45274.66666666667)</f>
        <v>45274.66667</v>
      </c>
      <c r="B686" s="1">
        <f>IFERROR(__xludf.DUMMYFUNCTION("""COMPUTED_VALUE"""),198.11)</f>
        <v>198.11</v>
      </c>
      <c r="C686" s="4">
        <f>IFERROR(__xludf.DUMMYFUNCTION("""COMPUTED_VALUE"""),45274.66666666667)</f>
        <v>45274.66667</v>
      </c>
      <c r="D686" s="1">
        <f>IFERROR(__xludf.DUMMYFUNCTION("""COMPUTED_VALUE"""),365.93)</f>
        <v>365.93</v>
      </c>
      <c r="E686" s="4">
        <f>IFERROR(__xludf.DUMMYFUNCTION("""COMPUTED_VALUE"""),45274.66666666667)</f>
        <v>45274.66667</v>
      </c>
      <c r="F686" s="1">
        <f>IFERROR(__xludf.DUMMYFUNCTION("""COMPUTED_VALUE"""),101.58)</f>
        <v>101.58</v>
      </c>
      <c r="G686" s="4">
        <f>IFERROR(__xludf.DUMMYFUNCTION("""COMPUTED_VALUE"""),45274.66666666667)</f>
        <v>45274.66667</v>
      </c>
      <c r="H686" s="1">
        <f>IFERROR(__xludf.DUMMYFUNCTION("""COMPUTED_VALUE"""),149.93)</f>
        <v>149.93</v>
      </c>
      <c r="I686" s="5">
        <f t="shared" si="1"/>
        <v>-0.002725758417</v>
      </c>
      <c r="K686" s="5">
        <f t="shared" si="2"/>
        <v>0.01311726286</v>
      </c>
      <c r="L686" s="5">
        <f t="shared" si="3"/>
        <v>-0.006694231148</v>
      </c>
      <c r="M686" s="5">
        <f t="shared" si="4"/>
        <v>-0.003868471954</v>
      </c>
      <c r="Q686" s="5"/>
    </row>
    <row r="687">
      <c r="A687" s="4">
        <f>IFERROR(__xludf.DUMMYFUNCTION("""COMPUTED_VALUE"""),45275.66666666667)</f>
        <v>45275.66667</v>
      </c>
      <c r="B687" s="1">
        <f>IFERROR(__xludf.DUMMYFUNCTION("""COMPUTED_VALUE"""),197.57)</f>
        <v>197.57</v>
      </c>
      <c r="C687" s="4">
        <f>IFERROR(__xludf.DUMMYFUNCTION("""COMPUTED_VALUE"""),45275.66666666667)</f>
        <v>45275.66667</v>
      </c>
      <c r="D687" s="1">
        <f>IFERROR(__xludf.DUMMYFUNCTION("""COMPUTED_VALUE"""),370.73)</f>
        <v>370.73</v>
      </c>
      <c r="E687" s="4">
        <f>IFERROR(__xludf.DUMMYFUNCTION("""COMPUTED_VALUE"""),45275.66666666667)</f>
        <v>45275.66667</v>
      </c>
      <c r="F687" s="1">
        <f>IFERROR(__xludf.DUMMYFUNCTION("""COMPUTED_VALUE"""),100.9)</f>
        <v>100.9</v>
      </c>
      <c r="G687" s="4">
        <f>IFERROR(__xludf.DUMMYFUNCTION("""COMPUTED_VALUE"""),45275.66666666667)</f>
        <v>45275.66667</v>
      </c>
      <c r="H687" s="1">
        <f>IFERROR(__xludf.DUMMYFUNCTION("""COMPUTED_VALUE"""),149.35)</f>
        <v>149.35</v>
      </c>
      <c r="I687" s="5">
        <f t="shared" si="1"/>
        <v>-0.008503315281</v>
      </c>
      <c r="K687" s="5">
        <f t="shared" si="2"/>
        <v>0.005178971219</v>
      </c>
      <c r="L687" s="5">
        <f t="shared" si="3"/>
        <v>0.007433102081</v>
      </c>
      <c r="M687" s="5">
        <f t="shared" si="4"/>
        <v>0.002209574824</v>
      </c>
      <c r="Q687" s="5"/>
    </row>
    <row r="688">
      <c r="A688" s="4">
        <f>IFERROR(__xludf.DUMMYFUNCTION("""COMPUTED_VALUE"""),45278.66666666667)</f>
        <v>45278.66667</v>
      </c>
      <c r="B688" s="1">
        <f>IFERROR(__xludf.DUMMYFUNCTION("""COMPUTED_VALUE"""),195.89)</f>
        <v>195.89</v>
      </c>
      <c r="C688" s="4">
        <f>IFERROR(__xludf.DUMMYFUNCTION("""COMPUTED_VALUE"""),45278.66666666667)</f>
        <v>45278.66667</v>
      </c>
      <c r="D688" s="1">
        <f>IFERROR(__xludf.DUMMYFUNCTION("""COMPUTED_VALUE"""),372.65)</f>
        <v>372.65</v>
      </c>
      <c r="E688" s="4">
        <f>IFERROR(__xludf.DUMMYFUNCTION("""COMPUTED_VALUE"""),45278.66666666667)</f>
        <v>45278.66667</v>
      </c>
      <c r="F688" s="1">
        <f>IFERROR(__xludf.DUMMYFUNCTION("""COMPUTED_VALUE"""),101.65)</f>
        <v>101.65</v>
      </c>
      <c r="G688" s="4">
        <f>IFERROR(__xludf.DUMMYFUNCTION("""COMPUTED_VALUE"""),45278.66666666667)</f>
        <v>45278.66667</v>
      </c>
      <c r="H688" s="1">
        <f>IFERROR(__xludf.DUMMYFUNCTION("""COMPUTED_VALUE"""),149.68)</f>
        <v>149.68</v>
      </c>
      <c r="I688" s="5">
        <f t="shared" si="1"/>
        <v>0.005360151105</v>
      </c>
      <c r="K688" s="5">
        <f t="shared" si="2"/>
        <v>0.001636924728</v>
      </c>
      <c r="L688" s="5">
        <f t="shared" si="3"/>
        <v>0.01318248893</v>
      </c>
      <c r="M688" s="5">
        <f t="shared" si="4"/>
        <v>0.01309460182</v>
      </c>
      <c r="Q688" s="5"/>
    </row>
    <row r="689">
      <c r="A689" s="4">
        <f>IFERROR(__xludf.DUMMYFUNCTION("""COMPUTED_VALUE"""),45279.66666666667)</f>
        <v>45279.66667</v>
      </c>
      <c r="B689" s="1">
        <f>IFERROR(__xludf.DUMMYFUNCTION("""COMPUTED_VALUE"""),196.94)</f>
        <v>196.94</v>
      </c>
      <c r="C689" s="4">
        <f>IFERROR(__xludf.DUMMYFUNCTION("""COMPUTED_VALUE"""),45279.66666666667)</f>
        <v>45279.66667</v>
      </c>
      <c r="D689" s="1">
        <f>IFERROR(__xludf.DUMMYFUNCTION("""COMPUTED_VALUE"""),373.26)</f>
        <v>373.26</v>
      </c>
      <c r="E689" s="4">
        <f>IFERROR(__xludf.DUMMYFUNCTION("""COMPUTED_VALUE"""),45279.66666666667)</f>
        <v>45279.66667</v>
      </c>
      <c r="F689" s="1">
        <f>IFERROR(__xludf.DUMMYFUNCTION("""COMPUTED_VALUE"""),102.99)</f>
        <v>102.99</v>
      </c>
      <c r="G689" s="4">
        <f>IFERROR(__xludf.DUMMYFUNCTION("""COMPUTED_VALUE"""),45279.66666666667)</f>
        <v>45279.66667</v>
      </c>
      <c r="H689" s="1">
        <f>IFERROR(__xludf.DUMMYFUNCTION("""COMPUTED_VALUE"""),151.64)</f>
        <v>151.64</v>
      </c>
      <c r="I689" s="5">
        <f t="shared" si="1"/>
        <v>-0.01071392302</v>
      </c>
      <c r="K689" s="5">
        <f t="shared" si="2"/>
        <v>-0.007072817875</v>
      </c>
      <c r="L689" s="5">
        <f t="shared" si="3"/>
        <v>-0.01670065055</v>
      </c>
      <c r="M689" s="5">
        <f t="shared" si="4"/>
        <v>-0.009166446848</v>
      </c>
      <c r="Q689" s="5"/>
    </row>
    <row r="690">
      <c r="A690" s="4">
        <f>IFERROR(__xludf.DUMMYFUNCTION("""COMPUTED_VALUE"""),45280.66666666667)</f>
        <v>45280.66667</v>
      </c>
      <c r="B690" s="1">
        <f>IFERROR(__xludf.DUMMYFUNCTION("""COMPUTED_VALUE"""),194.83)</f>
        <v>194.83</v>
      </c>
      <c r="C690" s="4">
        <f>IFERROR(__xludf.DUMMYFUNCTION("""COMPUTED_VALUE"""),45280.66666666667)</f>
        <v>45280.66667</v>
      </c>
      <c r="D690" s="1">
        <f>IFERROR(__xludf.DUMMYFUNCTION("""COMPUTED_VALUE"""),370.62)</f>
        <v>370.62</v>
      </c>
      <c r="E690" s="4">
        <f>IFERROR(__xludf.DUMMYFUNCTION("""COMPUTED_VALUE"""),45280.66666666667)</f>
        <v>45280.66667</v>
      </c>
      <c r="F690" s="1">
        <f>IFERROR(__xludf.DUMMYFUNCTION("""COMPUTED_VALUE"""),101.27)</f>
        <v>101.27</v>
      </c>
      <c r="G690" s="4">
        <f>IFERROR(__xludf.DUMMYFUNCTION("""COMPUTED_VALUE"""),45280.66666666667)</f>
        <v>45280.66667</v>
      </c>
      <c r="H690" s="1">
        <f>IFERROR(__xludf.DUMMYFUNCTION("""COMPUTED_VALUE"""),150.25)</f>
        <v>150.25</v>
      </c>
      <c r="I690" s="5">
        <f t="shared" si="1"/>
        <v>-0.0007699019658</v>
      </c>
      <c r="K690" s="5">
        <f t="shared" si="2"/>
        <v>0.007878689763</v>
      </c>
      <c r="L690" s="5">
        <f t="shared" si="3"/>
        <v>0.00454231263</v>
      </c>
      <c r="M690" s="5">
        <f t="shared" si="4"/>
        <v>0.00306156406</v>
      </c>
      <c r="Q690" s="5"/>
    </row>
    <row r="691">
      <c r="A691" s="4">
        <f>IFERROR(__xludf.DUMMYFUNCTION("""COMPUTED_VALUE"""),45281.66666666667)</f>
        <v>45281.66667</v>
      </c>
      <c r="B691" s="1">
        <f>IFERROR(__xludf.DUMMYFUNCTION("""COMPUTED_VALUE"""),194.68)</f>
        <v>194.68</v>
      </c>
      <c r="C691" s="4">
        <f>IFERROR(__xludf.DUMMYFUNCTION("""COMPUTED_VALUE"""),45281.66666666667)</f>
        <v>45281.66667</v>
      </c>
      <c r="D691" s="1">
        <f>IFERROR(__xludf.DUMMYFUNCTION("""COMPUTED_VALUE"""),373.54)</f>
        <v>373.54</v>
      </c>
      <c r="E691" s="4">
        <f>IFERROR(__xludf.DUMMYFUNCTION("""COMPUTED_VALUE"""),45281.66666666667)</f>
        <v>45281.66667</v>
      </c>
      <c r="F691" s="1">
        <f>IFERROR(__xludf.DUMMYFUNCTION("""COMPUTED_VALUE"""),101.73)</f>
        <v>101.73</v>
      </c>
      <c r="G691" s="4">
        <f>IFERROR(__xludf.DUMMYFUNCTION("""COMPUTED_VALUE"""),45281.66666666667)</f>
        <v>45281.66667</v>
      </c>
      <c r="H691" s="1">
        <f>IFERROR(__xludf.DUMMYFUNCTION("""COMPUTED_VALUE"""),150.71)</f>
        <v>150.71</v>
      </c>
      <c r="I691" s="5">
        <f t="shared" si="1"/>
        <v>-0.005547565235</v>
      </c>
      <c r="K691" s="5">
        <f t="shared" si="2"/>
        <v>0.002784173047</v>
      </c>
      <c r="L691" s="5">
        <f t="shared" si="3"/>
        <v>0.001769389561</v>
      </c>
      <c r="M691" s="5">
        <f t="shared" si="4"/>
        <v>0.002255988322</v>
      </c>
      <c r="Q691" s="5"/>
    </row>
    <row r="692">
      <c r="A692" s="4">
        <f>IFERROR(__xludf.DUMMYFUNCTION("""COMPUTED_VALUE"""),45282.66666666667)</f>
        <v>45282.66667</v>
      </c>
      <c r="B692" s="1">
        <f>IFERROR(__xludf.DUMMYFUNCTION("""COMPUTED_VALUE"""),193.6)</f>
        <v>193.6</v>
      </c>
      <c r="C692" s="4">
        <f>IFERROR(__xludf.DUMMYFUNCTION("""COMPUTED_VALUE"""),45282.66666666667)</f>
        <v>45282.66667</v>
      </c>
      <c r="D692" s="1">
        <f>IFERROR(__xludf.DUMMYFUNCTION("""COMPUTED_VALUE"""),374.58)</f>
        <v>374.58</v>
      </c>
      <c r="E692" s="4">
        <f>IFERROR(__xludf.DUMMYFUNCTION("""COMPUTED_VALUE"""),45282.66666666667)</f>
        <v>45282.66667</v>
      </c>
      <c r="F692" s="1">
        <f>IFERROR(__xludf.DUMMYFUNCTION("""COMPUTED_VALUE"""),101.91)</f>
        <v>101.91</v>
      </c>
      <c r="G692" s="4">
        <f>IFERROR(__xludf.DUMMYFUNCTION("""COMPUTED_VALUE"""),45282.66666666667)</f>
        <v>45282.66667</v>
      </c>
      <c r="H692" s="1">
        <f>IFERROR(__xludf.DUMMYFUNCTION("""COMPUTED_VALUE"""),151.05)</f>
        <v>151.05</v>
      </c>
      <c r="I692" s="5">
        <f t="shared" si="1"/>
        <v>-0.002840909091</v>
      </c>
      <c r="K692" s="5">
        <f t="shared" si="2"/>
        <v>0.0002135725346</v>
      </c>
      <c r="L692" s="5">
        <f t="shared" si="3"/>
        <v>0.002256893337</v>
      </c>
      <c r="M692" s="5">
        <f t="shared" si="4"/>
        <v>0.009003641178</v>
      </c>
      <c r="Q692" s="5"/>
    </row>
    <row r="693">
      <c r="A693" s="4">
        <f>IFERROR(__xludf.DUMMYFUNCTION("""COMPUTED_VALUE"""),45286.66666666667)</f>
        <v>45286.66667</v>
      </c>
      <c r="B693" s="1">
        <f>IFERROR(__xludf.DUMMYFUNCTION("""COMPUTED_VALUE"""),193.05)</f>
        <v>193.05</v>
      </c>
      <c r="C693" s="4">
        <f>IFERROR(__xludf.DUMMYFUNCTION("""COMPUTED_VALUE"""),45286.66666666667)</f>
        <v>45286.66667</v>
      </c>
      <c r="D693" s="1">
        <f>IFERROR(__xludf.DUMMYFUNCTION("""COMPUTED_VALUE"""),374.66)</f>
        <v>374.66</v>
      </c>
      <c r="E693" s="4">
        <f>IFERROR(__xludf.DUMMYFUNCTION("""COMPUTED_VALUE"""),45286.66666666667)</f>
        <v>45286.66667</v>
      </c>
      <c r="F693" s="1">
        <f>IFERROR(__xludf.DUMMYFUNCTION("""COMPUTED_VALUE"""),102.14)</f>
        <v>102.14</v>
      </c>
      <c r="G693" s="4">
        <f>IFERROR(__xludf.DUMMYFUNCTION("""COMPUTED_VALUE"""),45286.66666666667)</f>
        <v>45286.66667</v>
      </c>
      <c r="H693" s="1">
        <f>IFERROR(__xludf.DUMMYFUNCTION("""COMPUTED_VALUE"""),152.41)</f>
        <v>152.41</v>
      </c>
      <c r="I693" s="5">
        <f t="shared" si="1"/>
        <v>0.000518000518</v>
      </c>
      <c r="K693" s="5">
        <f t="shared" si="2"/>
        <v>-0.001574761117</v>
      </c>
      <c r="L693" s="5">
        <f t="shared" si="3"/>
        <v>-0.004699432152</v>
      </c>
      <c r="M693" s="5">
        <f t="shared" si="4"/>
        <v>-0.003280624631</v>
      </c>
      <c r="Q693" s="5"/>
    </row>
    <row r="694">
      <c r="A694" s="4">
        <f>IFERROR(__xludf.DUMMYFUNCTION("""COMPUTED_VALUE"""),45287.66666666667)</f>
        <v>45287.66667</v>
      </c>
      <c r="B694" s="1">
        <f>IFERROR(__xludf.DUMMYFUNCTION("""COMPUTED_VALUE"""),193.15)</f>
        <v>193.15</v>
      </c>
      <c r="C694" s="4">
        <f>IFERROR(__xludf.DUMMYFUNCTION("""COMPUTED_VALUE"""),45287.66666666667)</f>
        <v>45287.66667</v>
      </c>
      <c r="D694" s="1">
        <f>IFERROR(__xludf.DUMMYFUNCTION("""COMPUTED_VALUE"""),374.07)</f>
        <v>374.07</v>
      </c>
      <c r="E694" s="4">
        <f>IFERROR(__xludf.DUMMYFUNCTION("""COMPUTED_VALUE"""),45287.66666666667)</f>
        <v>45287.66667</v>
      </c>
      <c r="F694" s="1">
        <f>IFERROR(__xludf.DUMMYFUNCTION("""COMPUTED_VALUE"""),101.66)</f>
        <v>101.66</v>
      </c>
      <c r="G694" s="4">
        <f>IFERROR(__xludf.DUMMYFUNCTION("""COMPUTED_VALUE"""),45287.66666666667)</f>
        <v>45287.66667</v>
      </c>
      <c r="H694" s="1">
        <f>IFERROR(__xludf.DUMMYFUNCTION("""COMPUTED_VALUE"""),151.91)</f>
        <v>151.91</v>
      </c>
      <c r="I694" s="5">
        <f t="shared" si="1"/>
        <v>0.002226249029</v>
      </c>
      <c r="K694" s="5">
        <f t="shared" si="2"/>
        <v>0.003234688695</v>
      </c>
      <c r="L694" s="5">
        <f t="shared" si="3"/>
        <v>-0.01445996459</v>
      </c>
      <c r="M694" s="5">
        <f t="shared" si="4"/>
        <v>-0.01408728853</v>
      </c>
      <c r="Q694" s="5"/>
    </row>
    <row r="695">
      <c r="A695" s="4">
        <f>IFERROR(__xludf.DUMMYFUNCTION("""COMPUTED_VALUE"""),45288.66666666667)</f>
        <v>45288.66667</v>
      </c>
      <c r="B695" s="1">
        <f>IFERROR(__xludf.DUMMYFUNCTION("""COMPUTED_VALUE"""),193.58)</f>
        <v>193.58</v>
      </c>
      <c r="C695" s="4">
        <f>IFERROR(__xludf.DUMMYFUNCTION("""COMPUTED_VALUE"""),45288.66666666667)</f>
        <v>45288.66667</v>
      </c>
      <c r="D695" s="1">
        <f>IFERROR(__xludf.DUMMYFUNCTION("""COMPUTED_VALUE"""),375.28)</f>
        <v>375.28</v>
      </c>
      <c r="E695" s="4">
        <f>IFERROR(__xludf.DUMMYFUNCTION("""COMPUTED_VALUE"""),45288.66666666667)</f>
        <v>45288.66667</v>
      </c>
      <c r="F695" s="1">
        <f>IFERROR(__xludf.DUMMYFUNCTION("""COMPUTED_VALUE"""),100.19)</f>
        <v>100.19</v>
      </c>
      <c r="G695" s="4">
        <f>IFERROR(__xludf.DUMMYFUNCTION("""COMPUTED_VALUE"""),45288.66666666667)</f>
        <v>45288.66667</v>
      </c>
      <c r="H695" s="1">
        <f>IFERROR(__xludf.DUMMYFUNCTION("""COMPUTED_VALUE"""),149.77)</f>
        <v>149.77</v>
      </c>
      <c r="I695" s="5">
        <f t="shared" si="1"/>
        <v>-0.005424114061</v>
      </c>
      <c r="K695" s="5">
        <f t="shared" si="2"/>
        <v>0.002025154551</v>
      </c>
      <c r="L695" s="5">
        <f t="shared" si="3"/>
        <v>-0.002096017567</v>
      </c>
      <c r="M695" s="5">
        <f t="shared" si="4"/>
        <v>-0.004072911798</v>
      </c>
      <c r="Q695" s="5"/>
    </row>
    <row r="696">
      <c r="A696" s="4">
        <f>IFERROR(__xludf.DUMMYFUNCTION("""COMPUTED_VALUE"""),45289.66666666667)</f>
        <v>45289.66667</v>
      </c>
      <c r="B696" s="1">
        <f>IFERROR(__xludf.DUMMYFUNCTION("""COMPUTED_VALUE"""),192.53)</f>
        <v>192.53</v>
      </c>
      <c r="C696" s="4">
        <f>IFERROR(__xludf.DUMMYFUNCTION("""COMPUTED_VALUE"""),45289.66666666667)</f>
        <v>45289.66667</v>
      </c>
      <c r="D696" s="1">
        <f>IFERROR(__xludf.DUMMYFUNCTION("""COMPUTED_VALUE"""),376.04)</f>
        <v>376.04</v>
      </c>
      <c r="E696" s="4">
        <f>IFERROR(__xludf.DUMMYFUNCTION("""COMPUTED_VALUE"""),45289.66666666667)</f>
        <v>45289.66667</v>
      </c>
      <c r="F696" s="1">
        <f>IFERROR(__xludf.DUMMYFUNCTION("""COMPUTED_VALUE"""),99.98)</f>
        <v>99.98</v>
      </c>
      <c r="G696" s="4">
        <f>IFERROR(__xludf.DUMMYFUNCTION("""COMPUTED_VALUE"""),45289.66666666667)</f>
        <v>45289.66667</v>
      </c>
      <c r="H696" s="1">
        <f>IFERROR(__xludf.DUMMYFUNCTION("""COMPUTED_VALUE"""),149.16)</f>
        <v>149.16</v>
      </c>
      <c r="I696" s="5">
        <f t="shared" si="1"/>
        <v>-0.03578663065</v>
      </c>
      <c r="K696" s="5">
        <f t="shared" si="2"/>
        <v>-0.01374853739</v>
      </c>
      <c r="L696" s="5">
        <f t="shared" si="3"/>
        <v>0.02380476095</v>
      </c>
      <c r="M696" s="5">
        <f t="shared" si="4"/>
        <v>0.002145347278</v>
      </c>
      <c r="Q696" s="5"/>
    </row>
    <row r="697">
      <c r="A697" s="4">
        <f>IFERROR(__xludf.DUMMYFUNCTION("""COMPUTED_VALUE"""),45293.66666666667)</f>
        <v>45293.66667</v>
      </c>
      <c r="B697" s="1">
        <f>IFERROR(__xludf.DUMMYFUNCTION("""COMPUTED_VALUE"""),185.64)</f>
        <v>185.64</v>
      </c>
      <c r="C697" s="4">
        <f>IFERROR(__xludf.DUMMYFUNCTION("""COMPUTED_VALUE"""),45293.66666666667)</f>
        <v>45293.66667</v>
      </c>
      <c r="D697" s="1">
        <f>IFERROR(__xludf.DUMMYFUNCTION("""COMPUTED_VALUE"""),370.87)</f>
        <v>370.87</v>
      </c>
      <c r="E697" s="4">
        <f>IFERROR(__xludf.DUMMYFUNCTION("""COMPUTED_VALUE"""),45293.66666666667)</f>
        <v>45293.66667</v>
      </c>
      <c r="F697" s="1">
        <f>IFERROR(__xludf.DUMMYFUNCTION("""COMPUTED_VALUE"""),102.36)</f>
        <v>102.36</v>
      </c>
      <c r="G697" s="4">
        <f>IFERROR(__xludf.DUMMYFUNCTION("""COMPUTED_VALUE"""),45293.66666666667)</f>
        <v>45293.66667</v>
      </c>
      <c r="H697" s="1">
        <f>IFERROR(__xludf.DUMMYFUNCTION("""COMPUTED_VALUE"""),149.48)</f>
        <v>149.48</v>
      </c>
      <c r="I697" s="5">
        <f t="shared" si="1"/>
        <v>-0.007487610429</v>
      </c>
      <c r="K697" s="5">
        <f t="shared" si="2"/>
        <v>-0.0007280179038</v>
      </c>
      <c r="L697" s="5">
        <f t="shared" si="3"/>
        <v>0.008401719422</v>
      </c>
      <c r="M697" s="5">
        <f t="shared" si="4"/>
        <v>0.0190660958</v>
      </c>
      <c r="Q697" s="5"/>
    </row>
    <row r="698">
      <c r="A698" s="4">
        <f>IFERROR(__xludf.DUMMYFUNCTION("""COMPUTED_VALUE"""),45294.66666666667)</f>
        <v>45294.66667</v>
      </c>
      <c r="B698" s="1">
        <f>IFERROR(__xludf.DUMMYFUNCTION("""COMPUTED_VALUE"""),184.25)</f>
        <v>184.25</v>
      </c>
      <c r="C698" s="4">
        <f>IFERROR(__xludf.DUMMYFUNCTION("""COMPUTED_VALUE"""),45294.66666666667)</f>
        <v>45294.66667</v>
      </c>
      <c r="D698" s="1">
        <f>IFERROR(__xludf.DUMMYFUNCTION("""COMPUTED_VALUE"""),370.6)</f>
        <v>370.6</v>
      </c>
      <c r="E698" s="4">
        <f>IFERROR(__xludf.DUMMYFUNCTION("""COMPUTED_VALUE"""),45294.66666666667)</f>
        <v>45294.66667</v>
      </c>
      <c r="F698" s="1">
        <f>IFERROR(__xludf.DUMMYFUNCTION("""COMPUTED_VALUE"""),103.22)</f>
        <v>103.22</v>
      </c>
      <c r="G698" s="4">
        <f>IFERROR(__xludf.DUMMYFUNCTION("""COMPUTED_VALUE"""),45294.66666666667)</f>
        <v>45294.66667</v>
      </c>
      <c r="H698" s="1">
        <f>IFERROR(__xludf.DUMMYFUNCTION("""COMPUTED_VALUE"""),152.33)</f>
        <v>152.33</v>
      </c>
      <c r="I698" s="5">
        <f t="shared" si="1"/>
        <v>-0.01270013569</v>
      </c>
      <c r="K698" s="5">
        <f t="shared" si="2"/>
        <v>-0.007177549919</v>
      </c>
      <c r="L698" s="5">
        <f t="shared" si="3"/>
        <v>-0.008719240457</v>
      </c>
      <c r="M698" s="5">
        <f t="shared" si="4"/>
        <v>-0.01096304077</v>
      </c>
      <c r="Q698" s="5"/>
    </row>
    <row r="699">
      <c r="A699" s="4">
        <f>IFERROR(__xludf.DUMMYFUNCTION("""COMPUTED_VALUE"""),45295.66666666667)</f>
        <v>45295.66667</v>
      </c>
      <c r="B699" s="1">
        <f>IFERROR(__xludf.DUMMYFUNCTION("""COMPUTED_VALUE"""),181.91)</f>
        <v>181.91</v>
      </c>
      <c r="C699" s="4">
        <f>IFERROR(__xludf.DUMMYFUNCTION("""COMPUTED_VALUE"""),45295.66666666667)</f>
        <v>45295.66667</v>
      </c>
      <c r="D699" s="1">
        <f>IFERROR(__xludf.DUMMYFUNCTION("""COMPUTED_VALUE"""),367.94)</f>
        <v>367.94</v>
      </c>
      <c r="E699" s="4">
        <f>IFERROR(__xludf.DUMMYFUNCTION("""COMPUTED_VALUE"""),45295.66666666667)</f>
        <v>45295.66667</v>
      </c>
      <c r="F699" s="1">
        <f>IFERROR(__xludf.DUMMYFUNCTION("""COMPUTED_VALUE"""),102.32)</f>
        <v>102.32</v>
      </c>
      <c r="G699" s="4">
        <f>IFERROR(__xludf.DUMMYFUNCTION("""COMPUTED_VALUE"""),45295.66666666667)</f>
        <v>45295.66667</v>
      </c>
      <c r="H699" s="1">
        <f>IFERROR(__xludf.DUMMYFUNCTION("""COMPUTED_VALUE"""),150.66)</f>
        <v>150.66</v>
      </c>
      <c r="I699" s="5">
        <f t="shared" si="1"/>
        <v>-0.004012973448</v>
      </c>
      <c r="K699" s="5">
        <f t="shared" si="2"/>
        <v>-0.0005163885416</v>
      </c>
      <c r="L699" s="5">
        <f t="shared" si="3"/>
        <v>0.003029710711</v>
      </c>
      <c r="M699" s="5">
        <f t="shared" si="4"/>
        <v>-0.001725740077</v>
      </c>
      <c r="Q699" s="5"/>
    </row>
    <row r="700">
      <c r="A700" s="4">
        <f>IFERROR(__xludf.DUMMYFUNCTION("""COMPUTED_VALUE"""),45296.66666666667)</f>
        <v>45296.66667</v>
      </c>
      <c r="B700" s="1">
        <f>IFERROR(__xludf.DUMMYFUNCTION("""COMPUTED_VALUE"""),181.18)</f>
        <v>181.18</v>
      </c>
      <c r="C700" s="4">
        <f>IFERROR(__xludf.DUMMYFUNCTION("""COMPUTED_VALUE"""),45296.66666666667)</f>
        <v>45296.66667</v>
      </c>
      <c r="D700" s="1">
        <f>IFERROR(__xludf.DUMMYFUNCTION("""COMPUTED_VALUE"""),367.75)</f>
        <v>367.75</v>
      </c>
      <c r="E700" s="4">
        <f>IFERROR(__xludf.DUMMYFUNCTION("""COMPUTED_VALUE"""),45296.66666666667)</f>
        <v>45296.66667</v>
      </c>
      <c r="F700" s="1">
        <f>IFERROR(__xludf.DUMMYFUNCTION("""COMPUTED_VALUE"""),102.63)</f>
        <v>102.63</v>
      </c>
      <c r="G700" s="4">
        <f>IFERROR(__xludf.DUMMYFUNCTION("""COMPUTED_VALUE"""),45296.66666666667)</f>
        <v>45296.66667</v>
      </c>
      <c r="H700" s="1">
        <f>IFERROR(__xludf.DUMMYFUNCTION("""COMPUTED_VALUE"""),150.4)</f>
        <v>150.4</v>
      </c>
      <c r="I700" s="5">
        <f t="shared" si="1"/>
        <v>0.02417485374</v>
      </c>
      <c r="K700" s="5">
        <f t="shared" si="2"/>
        <v>0.01887151598</v>
      </c>
      <c r="L700" s="5">
        <f t="shared" si="3"/>
        <v>-0.0166617948</v>
      </c>
      <c r="M700" s="5">
        <f t="shared" si="4"/>
        <v>-0.005984042553</v>
      </c>
      <c r="Q700" s="5"/>
    </row>
    <row r="701">
      <c r="A701" s="4">
        <f>IFERROR(__xludf.DUMMYFUNCTION("""COMPUTED_VALUE"""),45299.66666666667)</f>
        <v>45299.66667</v>
      </c>
      <c r="B701" s="1">
        <f>IFERROR(__xludf.DUMMYFUNCTION("""COMPUTED_VALUE"""),185.56)</f>
        <v>185.56</v>
      </c>
      <c r="C701" s="4">
        <f>IFERROR(__xludf.DUMMYFUNCTION("""COMPUTED_VALUE"""),45299.66666666667)</f>
        <v>45299.66667</v>
      </c>
      <c r="D701" s="1">
        <f>IFERROR(__xludf.DUMMYFUNCTION("""COMPUTED_VALUE"""),374.69)</f>
        <v>374.69</v>
      </c>
      <c r="E701" s="4">
        <f>IFERROR(__xludf.DUMMYFUNCTION("""COMPUTED_VALUE"""),45299.66666666667)</f>
        <v>45299.66667</v>
      </c>
      <c r="F701" s="1">
        <f>IFERROR(__xludf.DUMMYFUNCTION("""COMPUTED_VALUE"""),100.92)</f>
        <v>100.92</v>
      </c>
      <c r="G701" s="4">
        <f>IFERROR(__xludf.DUMMYFUNCTION("""COMPUTED_VALUE"""),45299.66666666667)</f>
        <v>45299.66667</v>
      </c>
      <c r="H701" s="1">
        <f>IFERROR(__xludf.DUMMYFUNCTION("""COMPUTED_VALUE"""),149.5)</f>
        <v>149.5</v>
      </c>
      <c r="I701" s="5">
        <f t="shared" si="1"/>
        <v>-0.00226341884</v>
      </c>
      <c r="K701" s="5">
        <f t="shared" si="2"/>
        <v>0.002935760228</v>
      </c>
      <c r="L701" s="5">
        <f t="shared" si="3"/>
        <v>-0.01238604836</v>
      </c>
      <c r="M701" s="5">
        <f t="shared" si="4"/>
        <v>-0.0254180602</v>
      </c>
      <c r="Q701" s="5"/>
    </row>
    <row r="702">
      <c r="A702" s="4">
        <f>IFERROR(__xludf.DUMMYFUNCTION("""COMPUTED_VALUE"""),45300.66666666667)</f>
        <v>45300.66667</v>
      </c>
      <c r="B702" s="1">
        <f>IFERROR(__xludf.DUMMYFUNCTION("""COMPUTED_VALUE"""),185.14)</f>
        <v>185.14</v>
      </c>
      <c r="C702" s="4">
        <f>IFERROR(__xludf.DUMMYFUNCTION("""COMPUTED_VALUE"""),45300.66666666667)</f>
        <v>45300.66667</v>
      </c>
      <c r="D702" s="1">
        <f>IFERROR(__xludf.DUMMYFUNCTION("""COMPUTED_VALUE"""),375.79)</f>
        <v>375.79</v>
      </c>
      <c r="E702" s="4">
        <f>IFERROR(__xludf.DUMMYFUNCTION("""COMPUTED_VALUE"""),45300.66666666667)</f>
        <v>45300.66667</v>
      </c>
      <c r="F702" s="1">
        <f>IFERROR(__xludf.DUMMYFUNCTION("""COMPUTED_VALUE"""),99.67)</f>
        <v>99.67</v>
      </c>
      <c r="G702" s="4">
        <f>IFERROR(__xludf.DUMMYFUNCTION("""COMPUTED_VALUE"""),45300.66666666667)</f>
        <v>45300.66667</v>
      </c>
      <c r="H702" s="1">
        <f>IFERROR(__xludf.DUMMYFUNCTION("""COMPUTED_VALUE"""),145.7)</f>
        <v>145.7</v>
      </c>
      <c r="I702" s="5">
        <f t="shared" si="1"/>
        <v>0.005671383818</v>
      </c>
      <c r="K702" s="5">
        <f t="shared" si="2"/>
        <v>0.01857420368</v>
      </c>
      <c r="L702" s="5">
        <f t="shared" si="3"/>
        <v>-0.009832447075</v>
      </c>
      <c r="M702" s="5">
        <f t="shared" si="4"/>
        <v>-0.008236101579</v>
      </c>
      <c r="Q702" s="5"/>
    </row>
    <row r="703">
      <c r="A703" s="4">
        <f>IFERROR(__xludf.DUMMYFUNCTION("""COMPUTED_VALUE"""),45301.66666666667)</f>
        <v>45301.66667</v>
      </c>
      <c r="B703" s="1">
        <f>IFERROR(__xludf.DUMMYFUNCTION("""COMPUTED_VALUE"""),186.19)</f>
        <v>186.19</v>
      </c>
      <c r="C703" s="4">
        <f>IFERROR(__xludf.DUMMYFUNCTION("""COMPUTED_VALUE"""),45301.66666666667)</f>
        <v>45301.66667</v>
      </c>
      <c r="D703" s="1">
        <f>IFERROR(__xludf.DUMMYFUNCTION("""COMPUTED_VALUE"""),382.77)</f>
        <v>382.77</v>
      </c>
      <c r="E703" s="4">
        <f>IFERROR(__xludf.DUMMYFUNCTION("""COMPUTED_VALUE"""),45301.66666666667)</f>
        <v>45301.66667</v>
      </c>
      <c r="F703" s="1">
        <f>IFERROR(__xludf.DUMMYFUNCTION("""COMPUTED_VALUE"""),98.69)</f>
        <v>98.69</v>
      </c>
      <c r="G703" s="4">
        <f>IFERROR(__xludf.DUMMYFUNCTION("""COMPUTED_VALUE"""),45301.66666666667)</f>
        <v>45301.66667</v>
      </c>
      <c r="H703" s="1">
        <f>IFERROR(__xludf.DUMMYFUNCTION("""COMPUTED_VALUE"""),144.5)</f>
        <v>144.5</v>
      </c>
      <c r="I703" s="5">
        <f t="shared" si="1"/>
        <v>-0.003222514636</v>
      </c>
      <c r="K703" s="5">
        <f t="shared" si="2"/>
        <v>0.004859314993</v>
      </c>
      <c r="L703" s="5">
        <f t="shared" si="3"/>
        <v>-0.0002026547776</v>
      </c>
      <c r="M703" s="5">
        <f t="shared" si="4"/>
        <v>0.005397923875</v>
      </c>
      <c r="Q703" s="5"/>
    </row>
    <row r="704">
      <c r="A704" s="4">
        <f>IFERROR(__xludf.DUMMYFUNCTION("""COMPUTED_VALUE"""),45302.66666666667)</f>
        <v>45302.66667</v>
      </c>
      <c r="B704" s="1">
        <f>IFERROR(__xludf.DUMMYFUNCTION("""COMPUTED_VALUE"""),185.59)</f>
        <v>185.59</v>
      </c>
      <c r="C704" s="4">
        <f>IFERROR(__xludf.DUMMYFUNCTION("""COMPUTED_VALUE"""),45302.66666666667)</f>
        <v>45302.66667</v>
      </c>
      <c r="D704" s="1">
        <f>IFERROR(__xludf.DUMMYFUNCTION("""COMPUTED_VALUE"""),384.63)</f>
        <v>384.63</v>
      </c>
      <c r="E704" s="4">
        <f>IFERROR(__xludf.DUMMYFUNCTION("""COMPUTED_VALUE"""),45302.66666666667)</f>
        <v>45302.66667</v>
      </c>
      <c r="F704" s="1">
        <f>IFERROR(__xludf.DUMMYFUNCTION("""COMPUTED_VALUE"""),98.67)</f>
        <v>98.67</v>
      </c>
      <c r="G704" s="4">
        <f>IFERROR(__xludf.DUMMYFUNCTION("""COMPUTED_VALUE"""),45302.66666666667)</f>
        <v>45302.66667</v>
      </c>
      <c r="H704" s="1">
        <f>IFERROR(__xludf.DUMMYFUNCTION("""COMPUTED_VALUE"""),145.28)</f>
        <v>145.28</v>
      </c>
      <c r="I704" s="5">
        <f t="shared" si="1"/>
        <v>0.001778113045</v>
      </c>
      <c r="K704" s="5">
        <f t="shared" si="2"/>
        <v>0.009983620622</v>
      </c>
      <c r="L704" s="5">
        <f t="shared" si="3"/>
        <v>0.01297253471</v>
      </c>
      <c r="M704" s="5">
        <f t="shared" si="4"/>
        <v>0.01369768722</v>
      </c>
      <c r="Q704" s="5"/>
    </row>
    <row r="705">
      <c r="A705" s="4">
        <f>IFERROR(__xludf.DUMMYFUNCTION("""COMPUTED_VALUE"""),45303.66666666667)</f>
        <v>45303.66667</v>
      </c>
      <c r="B705" s="1">
        <f>IFERROR(__xludf.DUMMYFUNCTION("""COMPUTED_VALUE"""),185.92)</f>
        <v>185.92</v>
      </c>
      <c r="C705" s="4">
        <f>IFERROR(__xludf.DUMMYFUNCTION("""COMPUTED_VALUE"""),45303.66666666667)</f>
        <v>45303.66667</v>
      </c>
      <c r="D705" s="1">
        <f>IFERROR(__xludf.DUMMYFUNCTION("""COMPUTED_VALUE"""),388.47)</f>
        <v>388.47</v>
      </c>
      <c r="E705" s="4">
        <f>IFERROR(__xludf.DUMMYFUNCTION("""COMPUTED_VALUE"""),45303.66666666667)</f>
        <v>45303.66667</v>
      </c>
      <c r="F705" s="1">
        <f>IFERROR(__xludf.DUMMYFUNCTION("""COMPUTED_VALUE"""),99.95)</f>
        <v>99.95</v>
      </c>
      <c r="G705" s="4">
        <f>IFERROR(__xludf.DUMMYFUNCTION("""COMPUTED_VALUE"""),45303.66666666667)</f>
        <v>45303.66667</v>
      </c>
      <c r="H705" s="1">
        <f>IFERROR(__xludf.DUMMYFUNCTION("""COMPUTED_VALUE"""),147.27)</f>
        <v>147.27</v>
      </c>
      <c r="I705" s="5">
        <f t="shared" si="1"/>
        <v>-0.01231712565</v>
      </c>
      <c r="K705" s="5">
        <f t="shared" si="2"/>
        <v>0.004633562437</v>
      </c>
      <c r="L705" s="5">
        <f t="shared" si="3"/>
        <v>-0.02261130565</v>
      </c>
      <c r="M705" s="5">
        <f t="shared" si="4"/>
        <v>-0.02430909214</v>
      </c>
      <c r="Q705" s="5"/>
    </row>
    <row r="706">
      <c r="A706" s="4">
        <f>IFERROR(__xludf.DUMMYFUNCTION("""COMPUTED_VALUE"""),45307.66666666667)</f>
        <v>45307.66667</v>
      </c>
      <c r="B706" s="1">
        <f>IFERROR(__xludf.DUMMYFUNCTION("""COMPUTED_VALUE"""),183.63)</f>
        <v>183.63</v>
      </c>
      <c r="C706" s="4">
        <f>IFERROR(__xludf.DUMMYFUNCTION("""COMPUTED_VALUE"""),45307.66666666667)</f>
        <v>45307.66667</v>
      </c>
      <c r="D706" s="1">
        <f>IFERROR(__xludf.DUMMYFUNCTION("""COMPUTED_VALUE"""),390.27)</f>
        <v>390.27</v>
      </c>
      <c r="E706" s="4">
        <f>IFERROR(__xludf.DUMMYFUNCTION("""COMPUTED_VALUE"""),45307.66666666667)</f>
        <v>45307.66667</v>
      </c>
      <c r="F706" s="1">
        <f>IFERROR(__xludf.DUMMYFUNCTION("""COMPUTED_VALUE"""),97.69)</f>
        <v>97.69</v>
      </c>
      <c r="G706" s="4">
        <f>IFERROR(__xludf.DUMMYFUNCTION("""COMPUTED_VALUE"""),45307.66666666667)</f>
        <v>45307.66667</v>
      </c>
      <c r="H706" s="1">
        <f>IFERROR(__xludf.DUMMYFUNCTION("""COMPUTED_VALUE"""),143.69)</f>
        <v>143.69</v>
      </c>
      <c r="I706" s="5">
        <f t="shared" si="1"/>
        <v>-0.005173446605</v>
      </c>
      <c r="K706" s="5">
        <f t="shared" si="2"/>
        <v>-0.002049862915</v>
      </c>
      <c r="L706" s="5">
        <f t="shared" si="3"/>
        <v>-0.007267888218</v>
      </c>
      <c r="M706" s="5">
        <f t="shared" si="4"/>
        <v>-0.00396687313</v>
      </c>
      <c r="Q706" s="5"/>
    </row>
    <row r="707">
      <c r="A707" s="4">
        <f>IFERROR(__xludf.DUMMYFUNCTION("""COMPUTED_VALUE"""),45308.66666666667)</f>
        <v>45308.66667</v>
      </c>
      <c r="B707" s="1">
        <f>IFERROR(__xludf.DUMMYFUNCTION("""COMPUTED_VALUE"""),182.68)</f>
        <v>182.68</v>
      </c>
      <c r="C707" s="4">
        <f>IFERROR(__xludf.DUMMYFUNCTION("""COMPUTED_VALUE"""),45308.66666666667)</f>
        <v>45308.66667</v>
      </c>
      <c r="D707" s="1">
        <f>IFERROR(__xludf.DUMMYFUNCTION("""COMPUTED_VALUE"""),389.47)</f>
        <v>389.47</v>
      </c>
      <c r="E707" s="4">
        <f>IFERROR(__xludf.DUMMYFUNCTION("""COMPUTED_VALUE"""),45308.66666666667)</f>
        <v>45308.66667</v>
      </c>
      <c r="F707" s="1">
        <f>IFERROR(__xludf.DUMMYFUNCTION("""COMPUTED_VALUE"""),96.98)</f>
        <v>96.98</v>
      </c>
      <c r="G707" s="4">
        <f>IFERROR(__xludf.DUMMYFUNCTION("""COMPUTED_VALUE"""),45308.66666666667)</f>
        <v>45308.66667</v>
      </c>
      <c r="H707" s="1">
        <f>IFERROR(__xludf.DUMMYFUNCTION("""COMPUTED_VALUE"""),143.12)</f>
        <v>143.12</v>
      </c>
      <c r="I707" s="5">
        <f t="shared" si="1"/>
        <v>0.03257061528</v>
      </c>
      <c r="K707" s="5">
        <f t="shared" si="2"/>
        <v>0.01129740416</v>
      </c>
      <c r="L707" s="5">
        <f t="shared" si="3"/>
        <v>-0.001856052794</v>
      </c>
      <c r="M707" s="5">
        <f t="shared" si="4"/>
        <v>-0.009083286752</v>
      </c>
      <c r="Q707" s="5"/>
    </row>
    <row r="708">
      <c r="A708" s="4">
        <f>IFERROR(__xludf.DUMMYFUNCTION("""COMPUTED_VALUE"""),45309.66666666667)</f>
        <v>45309.66667</v>
      </c>
      <c r="B708" s="1">
        <f>IFERROR(__xludf.DUMMYFUNCTION("""COMPUTED_VALUE"""),188.63)</f>
        <v>188.63</v>
      </c>
      <c r="C708" s="4">
        <f>IFERROR(__xludf.DUMMYFUNCTION("""COMPUTED_VALUE"""),45309.66666666667)</f>
        <v>45309.66667</v>
      </c>
      <c r="D708" s="1">
        <f>IFERROR(__xludf.DUMMYFUNCTION("""COMPUTED_VALUE"""),393.87)</f>
        <v>393.87</v>
      </c>
      <c r="E708" s="4">
        <f>IFERROR(__xludf.DUMMYFUNCTION("""COMPUTED_VALUE"""),45309.66666666667)</f>
        <v>45309.66667</v>
      </c>
      <c r="F708" s="1">
        <f>IFERROR(__xludf.DUMMYFUNCTION("""COMPUTED_VALUE"""),96.8)</f>
        <v>96.8</v>
      </c>
      <c r="G708" s="4">
        <f>IFERROR(__xludf.DUMMYFUNCTION("""COMPUTED_VALUE"""),45309.66666666667)</f>
        <v>45309.66667</v>
      </c>
      <c r="H708" s="1">
        <f>IFERROR(__xludf.DUMMYFUNCTION("""COMPUTED_VALUE"""),141.82)</f>
        <v>141.82</v>
      </c>
      <c r="I708" s="5">
        <f t="shared" si="1"/>
        <v>0.01553305413</v>
      </c>
      <c r="K708" s="5">
        <f t="shared" si="2"/>
        <v>0.01218676213</v>
      </c>
      <c r="L708" s="5">
        <f t="shared" si="3"/>
        <v>0.001549586777</v>
      </c>
      <c r="M708" s="5">
        <f t="shared" si="4"/>
        <v>0.002961500494</v>
      </c>
      <c r="Q708" s="5"/>
    </row>
    <row r="709">
      <c r="A709" s="4">
        <f>IFERROR(__xludf.DUMMYFUNCTION("""COMPUTED_VALUE"""),45310.66666666667)</f>
        <v>45310.66667</v>
      </c>
      <c r="B709" s="1">
        <f>IFERROR(__xludf.DUMMYFUNCTION("""COMPUTED_VALUE"""),191.56)</f>
        <v>191.56</v>
      </c>
      <c r="C709" s="4">
        <f>IFERROR(__xludf.DUMMYFUNCTION("""COMPUTED_VALUE"""),45310.66666666667)</f>
        <v>45310.66667</v>
      </c>
      <c r="D709" s="1">
        <f>IFERROR(__xludf.DUMMYFUNCTION("""COMPUTED_VALUE"""),398.67)</f>
        <v>398.67</v>
      </c>
      <c r="E709" s="4">
        <f>IFERROR(__xludf.DUMMYFUNCTION("""COMPUTED_VALUE"""),45310.66666666667)</f>
        <v>45310.66667</v>
      </c>
      <c r="F709" s="1">
        <f>IFERROR(__xludf.DUMMYFUNCTION("""COMPUTED_VALUE"""),96.95)</f>
        <v>96.95</v>
      </c>
      <c r="G709" s="4">
        <f>IFERROR(__xludf.DUMMYFUNCTION("""COMPUTED_VALUE"""),45310.66666666667)</f>
        <v>45310.66667</v>
      </c>
      <c r="H709" s="1">
        <f>IFERROR(__xludf.DUMMYFUNCTION("""COMPUTED_VALUE"""),142.24)</f>
        <v>142.24</v>
      </c>
      <c r="I709" s="5">
        <f t="shared" si="1"/>
        <v>0.01216329087</v>
      </c>
      <c r="K709" s="5">
        <f t="shared" si="2"/>
        <v>-0.0054180149</v>
      </c>
      <c r="L709" s="5">
        <f t="shared" si="3"/>
        <v>-0.00134089737</v>
      </c>
      <c r="M709" s="5">
        <f t="shared" si="4"/>
        <v>0.001757592801</v>
      </c>
      <c r="Q709" s="5"/>
    </row>
    <row r="710">
      <c r="A710" s="4">
        <f>IFERROR(__xludf.DUMMYFUNCTION("""COMPUTED_VALUE"""),45313.66666666667)</f>
        <v>45313.66667</v>
      </c>
      <c r="B710" s="1">
        <f>IFERROR(__xludf.DUMMYFUNCTION("""COMPUTED_VALUE"""),193.89)</f>
        <v>193.89</v>
      </c>
      <c r="C710" s="4">
        <f>IFERROR(__xludf.DUMMYFUNCTION("""COMPUTED_VALUE"""),45313.66666666667)</f>
        <v>45313.66667</v>
      </c>
      <c r="D710" s="1">
        <f>IFERROR(__xludf.DUMMYFUNCTION("""COMPUTED_VALUE"""),396.51)</f>
        <v>396.51</v>
      </c>
      <c r="E710" s="4">
        <f>IFERROR(__xludf.DUMMYFUNCTION("""COMPUTED_VALUE"""),45313.66666666667)</f>
        <v>45313.66667</v>
      </c>
      <c r="F710" s="1">
        <f>IFERROR(__xludf.DUMMYFUNCTION("""COMPUTED_VALUE"""),96.82)</f>
        <v>96.82</v>
      </c>
      <c r="G710" s="4">
        <f>IFERROR(__xludf.DUMMYFUNCTION("""COMPUTED_VALUE"""),45313.66666666667)</f>
        <v>45313.66667</v>
      </c>
      <c r="H710" s="1">
        <f>IFERROR(__xludf.DUMMYFUNCTION("""COMPUTED_VALUE"""),142.49)</f>
        <v>142.49</v>
      </c>
      <c r="I710" s="5">
        <f t="shared" si="1"/>
        <v>0.006653257001</v>
      </c>
      <c r="K710" s="5">
        <f t="shared" si="2"/>
        <v>0.006027590729</v>
      </c>
      <c r="L710" s="5">
        <f t="shared" si="3"/>
        <v>0.01125800454</v>
      </c>
      <c r="M710" s="5">
        <f t="shared" si="4"/>
        <v>-0.002807214541</v>
      </c>
      <c r="Q710" s="5"/>
    </row>
    <row r="711">
      <c r="A711" s="4">
        <f>IFERROR(__xludf.DUMMYFUNCTION("""COMPUTED_VALUE"""),45314.66666666667)</f>
        <v>45314.66667</v>
      </c>
      <c r="B711" s="1">
        <f>IFERROR(__xludf.DUMMYFUNCTION("""COMPUTED_VALUE"""),195.18)</f>
        <v>195.18</v>
      </c>
      <c r="C711" s="4">
        <f>IFERROR(__xludf.DUMMYFUNCTION("""COMPUTED_VALUE"""),45314.66666666667)</f>
        <v>45314.66667</v>
      </c>
      <c r="D711" s="1">
        <f>IFERROR(__xludf.DUMMYFUNCTION("""COMPUTED_VALUE"""),398.9)</f>
        <v>398.9</v>
      </c>
      <c r="E711" s="4">
        <f>IFERROR(__xludf.DUMMYFUNCTION("""COMPUTED_VALUE"""),45314.66666666667)</f>
        <v>45314.66667</v>
      </c>
      <c r="F711" s="1">
        <f>IFERROR(__xludf.DUMMYFUNCTION("""COMPUTED_VALUE"""),97.91)</f>
        <v>97.91</v>
      </c>
      <c r="G711" s="4">
        <f>IFERROR(__xludf.DUMMYFUNCTION("""COMPUTED_VALUE"""),45314.66666666667)</f>
        <v>45314.66667</v>
      </c>
      <c r="H711" s="1">
        <f>IFERROR(__xludf.DUMMYFUNCTION("""COMPUTED_VALUE"""),142.09)</f>
        <v>142.09</v>
      </c>
      <c r="I711" s="5">
        <f t="shared" si="1"/>
        <v>-0.003483963521</v>
      </c>
      <c r="K711" s="5">
        <f t="shared" si="2"/>
        <v>0.009175231888</v>
      </c>
      <c r="L711" s="5">
        <f t="shared" si="3"/>
        <v>0.01726074967</v>
      </c>
      <c r="M711" s="5">
        <f t="shared" si="4"/>
        <v>0.01991695404</v>
      </c>
      <c r="Q711" s="5"/>
    </row>
    <row r="712">
      <c r="A712" s="4">
        <f>IFERROR(__xludf.DUMMYFUNCTION("""COMPUTED_VALUE"""),45315.66666666667)</f>
        <v>45315.66667</v>
      </c>
      <c r="B712" s="1">
        <f>IFERROR(__xludf.DUMMYFUNCTION("""COMPUTED_VALUE"""),194.5)</f>
        <v>194.5</v>
      </c>
      <c r="C712" s="4">
        <f>IFERROR(__xludf.DUMMYFUNCTION("""COMPUTED_VALUE"""),45315.66666666667)</f>
        <v>45315.66667</v>
      </c>
      <c r="D712" s="1">
        <f>IFERROR(__xludf.DUMMYFUNCTION("""COMPUTED_VALUE"""),402.56)</f>
        <v>402.56</v>
      </c>
      <c r="E712" s="4">
        <f>IFERROR(__xludf.DUMMYFUNCTION("""COMPUTED_VALUE"""),45315.66666666667)</f>
        <v>45315.66667</v>
      </c>
      <c r="F712" s="1">
        <f>IFERROR(__xludf.DUMMYFUNCTION("""COMPUTED_VALUE"""),99.6)</f>
        <v>99.6</v>
      </c>
      <c r="G712" s="4">
        <f>IFERROR(__xludf.DUMMYFUNCTION("""COMPUTED_VALUE"""),45315.66666666667)</f>
        <v>45315.66667</v>
      </c>
      <c r="H712" s="1">
        <f>IFERROR(__xludf.DUMMYFUNCTION("""COMPUTED_VALUE"""),144.92)</f>
        <v>144.92</v>
      </c>
      <c r="I712" s="5">
        <f t="shared" si="1"/>
        <v>-0.001696658098</v>
      </c>
      <c r="K712" s="5">
        <f t="shared" si="2"/>
        <v>0.00573827504</v>
      </c>
      <c r="L712" s="5">
        <f t="shared" si="3"/>
        <v>0.02540160643</v>
      </c>
      <c r="M712" s="5">
        <f t="shared" si="4"/>
        <v>0.02518630969</v>
      </c>
      <c r="Q712" s="5"/>
    </row>
    <row r="713">
      <c r="A713" s="4">
        <f>IFERROR(__xludf.DUMMYFUNCTION("""COMPUTED_VALUE"""),45316.66666666667)</f>
        <v>45316.66667</v>
      </c>
      <c r="B713" s="1">
        <f>IFERROR(__xludf.DUMMYFUNCTION("""COMPUTED_VALUE"""),194.17)</f>
        <v>194.17</v>
      </c>
      <c r="C713" s="4">
        <f>IFERROR(__xludf.DUMMYFUNCTION("""COMPUTED_VALUE"""),45316.66666666667)</f>
        <v>45316.66667</v>
      </c>
      <c r="D713" s="1">
        <f>IFERROR(__xludf.DUMMYFUNCTION("""COMPUTED_VALUE"""),404.87)</f>
        <v>404.87</v>
      </c>
      <c r="E713" s="4">
        <f>IFERROR(__xludf.DUMMYFUNCTION("""COMPUTED_VALUE"""),45316.66666666667)</f>
        <v>45316.66667</v>
      </c>
      <c r="F713" s="1">
        <f>IFERROR(__xludf.DUMMYFUNCTION("""COMPUTED_VALUE"""),102.13)</f>
        <v>102.13</v>
      </c>
      <c r="G713" s="4">
        <f>IFERROR(__xludf.DUMMYFUNCTION("""COMPUTED_VALUE"""),45316.66666666667)</f>
        <v>45316.66667</v>
      </c>
      <c r="H713" s="1">
        <f>IFERROR(__xludf.DUMMYFUNCTION("""COMPUTED_VALUE"""),148.57)</f>
        <v>148.57</v>
      </c>
      <c r="I713" s="5">
        <f t="shared" si="1"/>
        <v>-0.009012720812</v>
      </c>
      <c r="K713" s="5">
        <f t="shared" si="2"/>
        <v>-0.002321732902</v>
      </c>
      <c r="L713" s="5">
        <f t="shared" si="3"/>
        <v>0.008518554783</v>
      </c>
      <c r="M713" s="5">
        <f t="shared" si="4"/>
        <v>0.003836575352</v>
      </c>
      <c r="Q713" s="5"/>
    </row>
    <row r="714">
      <c r="A714" s="4">
        <f>IFERROR(__xludf.DUMMYFUNCTION("""COMPUTED_VALUE"""),45317.66666666667)</f>
        <v>45317.66667</v>
      </c>
      <c r="B714" s="1">
        <f>IFERROR(__xludf.DUMMYFUNCTION("""COMPUTED_VALUE"""),192.42)</f>
        <v>192.42</v>
      </c>
      <c r="C714" s="4">
        <f>IFERROR(__xludf.DUMMYFUNCTION("""COMPUTED_VALUE"""),45317.66666666667)</f>
        <v>45317.66667</v>
      </c>
      <c r="D714" s="1">
        <f>IFERROR(__xludf.DUMMYFUNCTION("""COMPUTED_VALUE"""),403.93)</f>
        <v>403.93</v>
      </c>
      <c r="E714" s="4">
        <f>IFERROR(__xludf.DUMMYFUNCTION("""COMPUTED_VALUE"""),45317.66666666667)</f>
        <v>45317.66667</v>
      </c>
      <c r="F714" s="1">
        <f>IFERROR(__xludf.DUMMYFUNCTION("""COMPUTED_VALUE"""),103.0)</f>
        <v>103</v>
      </c>
      <c r="G714" s="4">
        <f>IFERROR(__xludf.DUMMYFUNCTION("""COMPUTED_VALUE"""),45317.66666666667)</f>
        <v>45317.66667</v>
      </c>
      <c r="H714" s="1">
        <f>IFERROR(__xludf.DUMMYFUNCTION("""COMPUTED_VALUE"""),149.14)</f>
        <v>149.14</v>
      </c>
      <c r="I714" s="5">
        <f t="shared" si="1"/>
        <v>-0.003585905831</v>
      </c>
      <c r="K714" s="5">
        <f t="shared" si="2"/>
        <v>0.01433416681</v>
      </c>
      <c r="L714" s="5">
        <f t="shared" si="3"/>
        <v>0.001262135922</v>
      </c>
      <c r="M714" s="5">
        <f t="shared" si="4"/>
        <v>-0.0004023065576</v>
      </c>
      <c r="Q714" s="5"/>
    </row>
    <row r="715">
      <c r="A715" s="4">
        <f>IFERROR(__xludf.DUMMYFUNCTION("""COMPUTED_VALUE"""),45320.66666666667)</f>
        <v>45320.66667</v>
      </c>
      <c r="B715" s="1">
        <f>IFERROR(__xludf.DUMMYFUNCTION("""COMPUTED_VALUE"""),191.73)</f>
        <v>191.73</v>
      </c>
      <c r="C715" s="4">
        <f>IFERROR(__xludf.DUMMYFUNCTION("""COMPUTED_VALUE"""),45320.66666666667)</f>
        <v>45320.66667</v>
      </c>
      <c r="D715" s="1">
        <f>IFERROR(__xludf.DUMMYFUNCTION("""COMPUTED_VALUE"""),409.72)</f>
        <v>409.72</v>
      </c>
      <c r="E715" s="4">
        <f>IFERROR(__xludf.DUMMYFUNCTION("""COMPUTED_VALUE"""),45320.66666666667)</f>
        <v>45320.66667</v>
      </c>
      <c r="F715" s="1">
        <f>IFERROR(__xludf.DUMMYFUNCTION("""COMPUTED_VALUE"""),103.13)</f>
        <v>103.13</v>
      </c>
      <c r="G715" s="4">
        <f>IFERROR(__xludf.DUMMYFUNCTION("""COMPUTED_VALUE"""),45320.66666666667)</f>
        <v>45320.66667</v>
      </c>
      <c r="H715" s="1">
        <f>IFERROR(__xludf.DUMMYFUNCTION("""COMPUTED_VALUE"""),149.08)</f>
        <v>149.08</v>
      </c>
      <c r="I715" s="5">
        <f t="shared" si="1"/>
        <v>-0.01924581443</v>
      </c>
      <c r="K715" s="5">
        <f t="shared" si="2"/>
        <v>-0.00275798106</v>
      </c>
      <c r="L715" s="5">
        <f t="shared" si="3"/>
        <v>0.01667797925</v>
      </c>
      <c r="M715" s="5">
        <f t="shared" si="4"/>
        <v>0.006976120204</v>
      </c>
      <c r="Q715" s="5"/>
    </row>
    <row r="716">
      <c r="A716" s="4">
        <f>IFERROR(__xludf.DUMMYFUNCTION("""COMPUTED_VALUE"""),45321.66666666667)</f>
        <v>45321.66667</v>
      </c>
      <c r="B716" s="1">
        <f>IFERROR(__xludf.DUMMYFUNCTION("""COMPUTED_VALUE"""),188.04)</f>
        <v>188.04</v>
      </c>
      <c r="C716" s="4">
        <f>IFERROR(__xludf.DUMMYFUNCTION("""COMPUTED_VALUE"""),45321.66666666667)</f>
        <v>45321.66667</v>
      </c>
      <c r="D716" s="1">
        <f>IFERROR(__xludf.DUMMYFUNCTION("""COMPUTED_VALUE"""),408.59)</f>
        <v>408.59</v>
      </c>
      <c r="E716" s="4">
        <f>IFERROR(__xludf.DUMMYFUNCTION("""COMPUTED_VALUE"""),45321.66666666667)</f>
        <v>45321.66667</v>
      </c>
      <c r="F716" s="1">
        <f>IFERROR(__xludf.DUMMYFUNCTION("""COMPUTED_VALUE"""),104.85)</f>
        <v>104.85</v>
      </c>
      <c r="G716" s="4">
        <f>IFERROR(__xludf.DUMMYFUNCTION("""COMPUTED_VALUE"""),45321.66666666667)</f>
        <v>45321.66667</v>
      </c>
      <c r="H716" s="1">
        <f>IFERROR(__xludf.DUMMYFUNCTION("""COMPUTED_VALUE"""),150.12)</f>
        <v>150.12</v>
      </c>
      <c r="I716" s="5">
        <f t="shared" si="1"/>
        <v>-0.01935758349</v>
      </c>
      <c r="K716" s="5">
        <f t="shared" si="2"/>
        <v>-0.02694632761</v>
      </c>
      <c r="L716" s="5">
        <f t="shared" si="3"/>
        <v>-0.01945636624</v>
      </c>
      <c r="M716" s="5">
        <f t="shared" si="4"/>
        <v>-0.01791899813</v>
      </c>
      <c r="Q716" s="5"/>
    </row>
    <row r="717">
      <c r="A717" s="4">
        <f>IFERROR(__xludf.DUMMYFUNCTION("""COMPUTED_VALUE"""),45322.66666666667)</f>
        <v>45322.66667</v>
      </c>
      <c r="B717" s="1">
        <f>IFERROR(__xludf.DUMMYFUNCTION("""COMPUTED_VALUE"""),184.4)</f>
        <v>184.4</v>
      </c>
      <c r="C717" s="4">
        <f>IFERROR(__xludf.DUMMYFUNCTION("""COMPUTED_VALUE"""),45322.66666666667)</f>
        <v>45322.66667</v>
      </c>
      <c r="D717" s="1">
        <f>IFERROR(__xludf.DUMMYFUNCTION("""COMPUTED_VALUE"""),397.58)</f>
        <v>397.58</v>
      </c>
      <c r="E717" s="4">
        <f>IFERROR(__xludf.DUMMYFUNCTION("""COMPUTED_VALUE"""),45322.66666666667)</f>
        <v>45322.66667</v>
      </c>
      <c r="F717" s="1">
        <f>IFERROR(__xludf.DUMMYFUNCTION("""COMPUTED_VALUE"""),102.81)</f>
        <v>102.81</v>
      </c>
      <c r="G717" s="4">
        <f>IFERROR(__xludf.DUMMYFUNCTION("""COMPUTED_VALUE"""),45322.66666666667)</f>
        <v>45322.66667</v>
      </c>
      <c r="H717" s="1">
        <f>IFERROR(__xludf.DUMMYFUNCTION("""COMPUTED_VALUE"""),147.43)</f>
        <v>147.43</v>
      </c>
      <c r="I717" s="5">
        <f t="shared" si="1"/>
        <v>0.01334056399</v>
      </c>
      <c r="K717" s="5">
        <f t="shared" si="2"/>
        <v>0.01559434579</v>
      </c>
      <c r="L717" s="5">
        <f t="shared" si="3"/>
        <v>-0.004085205719</v>
      </c>
      <c r="M717" s="5">
        <f t="shared" si="4"/>
        <v>0.003120124805</v>
      </c>
      <c r="Q717" s="5"/>
    </row>
    <row r="718">
      <c r="A718" s="4">
        <f>IFERROR(__xludf.DUMMYFUNCTION("""COMPUTED_VALUE"""),45323.66666666667)</f>
        <v>45323.66667</v>
      </c>
      <c r="B718" s="1">
        <f>IFERROR(__xludf.DUMMYFUNCTION("""COMPUTED_VALUE"""),186.86)</f>
        <v>186.86</v>
      </c>
      <c r="C718" s="4">
        <f>IFERROR(__xludf.DUMMYFUNCTION("""COMPUTED_VALUE"""),45323.66666666667)</f>
        <v>45323.66667</v>
      </c>
      <c r="D718" s="1">
        <f>IFERROR(__xludf.DUMMYFUNCTION("""COMPUTED_VALUE"""),403.78)</f>
        <v>403.78</v>
      </c>
      <c r="E718" s="4">
        <f>IFERROR(__xludf.DUMMYFUNCTION("""COMPUTED_VALUE"""),45323.66666666667)</f>
        <v>45323.66667</v>
      </c>
      <c r="F718" s="1">
        <f>IFERROR(__xludf.DUMMYFUNCTION("""COMPUTED_VALUE"""),102.39)</f>
        <v>102.39</v>
      </c>
      <c r="G718" s="4">
        <f>IFERROR(__xludf.DUMMYFUNCTION("""COMPUTED_VALUE"""),45323.66666666667)</f>
        <v>45323.66667</v>
      </c>
      <c r="H718" s="1">
        <f>IFERROR(__xludf.DUMMYFUNCTION("""COMPUTED_VALUE"""),147.89)</f>
        <v>147.89</v>
      </c>
      <c r="I718" s="5">
        <f t="shared" si="1"/>
        <v>-0.00540511613</v>
      </c>
      <c r="K718" s="5">
        <f t="shared" si="2"/>
        <v>0.01842587548</v>
      </c>
      <c r="L718" s="5">
        <f t="shared" si="3"/>
        <v>-0.004101963082</v>
      </c>
      <c r="M718" s="5">
        <f t="shared" si="4"/>
        <v>0.02941375347</v>
      </c>
      <c r="Q718" s="5"/>
    </row>
    <row r="719">
      <c r="A719" s="4">
        <f>IFERROR(__xludf.DUMMYFUNCTION("""COMPUTED_VALUE"""),45324.66666666667)</f>
        <v>45324.66667</v>
      </c>
      <c r="B719" s="1">
        <f>IFERROR(__xludf.DUMMYFUNCTION("""COMPUTED_VALUE"""),185.85)</f>
        <v>185.85</v>
      </c>
      <c r="C719" s="4">
        <f>IFERROR(__xludf.DUMMYFUNCTION("""COMPUTED_VALUE"""),45324.66666666667)</f>
        <v>45324.66667</v>
      </c>
      <c r="D719" s="1">
        <f>IFERROR(__xludf.DUMMYFUNCTION("""COMPUTED_VALUE"""),411.22)</f>
        <v>411.22</v>
      </c>
      <c r="E719" s="4">
        <f>IFERROR(__xludf.DUMMYFUNCTION("""COMPUTED_VALUE"""),45324.66666666667)</f>
        <v>45324.66667</v>
      </c>
      <c r="F719" s="1">
        <f>IFERROR(__xludf.DUMMYFUNCTION("""COMPUTED_VALUE"""),101.97)</f>
        <v>101.97</v>
      </c>
      <c r="G719" s="4">
        <f>IFERROR(__xludf.DUMMYFUNCTION("""COMPUTED_VALUE"""),45324.66666666667)</f>
        <v>45324.66667</v>
      </c>
      <c r="H719" s="1">
        <f>IFERROR(__xludf.DUMMYFUNCTION("""COMPUTED_VALUE"""),152.24)</f>
        <v>152.24</v>
      </c>
      <c r="I719" s="5">
        <f t="shared" si="1"/>
        <v>0.009846650525</v>
      </c>
      <c r="K719" s="5">
        <f t="shared" si="2"/>
        <v>-0.01354506104</v>
      </c>
      <c r="L719" s="5">
        <f t="shared" si="3"/>
        <v>-0.004118858488</v>
      </c>
      <c r="M719" s="5">
        <f t="shared" si="4"/>
        <v>0.0005911718339</v>
      </c>
      <c r="Q719" s="5"/>
    </row>
    <row r="720">
      <c r="A720" s="4">
        <f>IFERROR(__xludf.DUMMYFUNCTION("""COMPUTED_VALUE"""),45327.66666666667)</f>
        <v>45327.66667</v>
      </c>
      <c r="B720" s="1">
        <f>IFERROR(__xludf.DUMMYFUNCTION("""COMPUTED_VALUE"""),187.68)</f>
        <v>187.68</v>
      </c>
      <c r="C720" s="4">
        <f>IFERROR(__xludf.DUMMYFUNCTION("""COMPUTED_VALUE"""),45327.66666666667)</f>
        <v>45327.66667</v>
      </c>
      <c r="D720" s="1">
        <f>IFERROR(__xludf.DUMMYFUNCTION("""COMPUTED_VALUE"""),405.65)</f>
        <v>405.65</v>
      </c>
      <c r="E720" s="4">
        <f>IFERROR(__xludf.DUMMYFUNCTION("""COMPUTED_VALUE"""),45327.66666666667)</f>
        <v>45327.66667</v>
      </c>
      <c r="F720" s="1">
        <f>IFERROR(__xludf.DUMMYFUNCTION("""COMPUTED_VALUE"""),101.55)</f>
        <v>101.55</v>
      </c>
      <c r="G720" s="4">
        <f>IFERROR(__xludf.DUMMYFUNCTION("""COMPUTED_VALUE"""),45327.66666666667)</f>
        <v>45327.66667</v>
      </c>
      <c r="H720" s="1">
        <f>IFERROR(__xludf.DUMMYFUNCTION("""COMPUTED_VALUE"""),152.33)</f>
        <v>152.33</v>
      </c>
      <c r="I720" s="5">
        <f t="shared" si="1"/>
        <v>0.008631713555</v>
      </c>
      <c r="K720" s="5">
        <f t="shared" si="2"/>
        <v>-0.0003944286947</v>
      </c>
      <c r="L720" s="5">
        <f t="shared" si="3"/>
        <v>0.006893156081</v>
      </c>
      <c r="M720" s="5">
        <f t="shared" si="4"/>
        <v>0.0001312939014</v>
      </c>
      <c r="Q720" s="5"/>
    </row>
    <row r="721">
      <c r="A721" s="4">
        <f>IFERROR(__xludf.DUMMYFUNCTION("""COMPUTED_VALUE"""),45328.66666666667)</f>
        <v>45328.66667</v>
      </c>
      <c r="B721" s="1">
        <f>IFERROR(__xludf.DUMMYFUNCTION("""COMPUTED_VALUE"""),189.3)</f>
        <v>189.3</v>
      </c>
      <c r="C721" s="4">
        <f>IFERROR(__xludf.DUMMYFUNCTION("""COMPUTED_VALUE"""),45328.66666666667)</f>
        <v>45328.66667</v>
      </c>
      <c r="D721" s="1">
        <f>IFERROR(__xludf.DUMMYFUNCTION("""COMPUTED_VALUE"""),405.49)</f>
        <v>405.49</v>
      </c>
      <c r="E721" s="4">
        <f>IFERROR(__xludf.DUMMYFUNCTION("""COMPUTED_VALUE"""),45328.66666666667)</f>
        <v>45328.66667</v>
      </c>
      <c r="F721" s="1">
        <f>IFERROR(__xludf.DUMMYFUNCTION("""COMPUTED_VALUE"""),102.25)</f>
        <v>102.25</v>
      </c>
      <c r="G721" s="4">
        <f>IFERROR(__xludf.DUMMYFUNCTION("""COMPUTED_VALUE"""),45328.66666666667)</f>
        <v>45328.66667</v>
      </c>
      <c r="H721" s="1">
        <f>IFERROR(__xludf.DUMMYFUNCTION("""COMPUTED_VALUE"""),152.35)</f>
        <v>152.35</v>
      </c>
      <c r="I721" s="5">
        <f t="shared" si="1"/>
        <v>0.0005810882198</v>
      </c>
      <c r="K721" s="5">
        <f t="shared" si="2"/>
        <v>0.02111026166</v>
      </c>
      <c r="L721" s="5">
        <f t="shared" si="3"/>
        <v>-0.000293398533</v>
      </c>
      <c r="M721" s="5">
        <f t="shared" si="4"/>
        <v>-0.001444043321</v>
      </c>
      <c r="Q721" s="5"/>
    </row>
    <row r="722">
      <c r="A722" s="4">
        <f>IFERROR(__xludf.DUMMYFUNCTION("""COMPUTED_VALUE"""),45329.66666666667)</f>
        <v>45329.66667</v>
      </c>
      <c r="B722" s="1">
        <f>IFERROR(__xludf.DUMMYFUNCTION("""COMPUTED_VALUE"""),189.41)</f>
        <v>189.41</v>
      </c>
      <c r="C722" s="4">
        <f>IFERROR(__xludf.DUMMYFUNCTION("""COMPUTED_VALUE"""),45329.66666666667)</f>
        <v>45329.66667</v>
      </c>
      <c r="D722" s="1">
        <f>IFERROR(__xludf.DUMMYFUNCTION("""COMPUTED_VALUE"""),414.05)</f>
        <v>414.05</v>
      </c>
      <c r="E722" s="4">
        <f>IFERROR(__xludf.DUMMYFUNCTION("""COMPUTED_VALUE"""),45329.66666666667)</f>
        <v>45329.66667</v>
      </c>
      <c r="F722" s="1">
        <f>IFERROR(__xludf.DUMMYFUNCTION("""COMPUTED_VALUE"""),102.22)</f>
        <v>102.22</v>
      </c>
      <c r="G722" s="4">
        <f>IFERROR(__xludf.DUMMYFUNCTION("""COMPUTED_VALUE"""),45329.66666666667)</f>
        <v>45329.66667</v>
      </c>
      <c r="H722" s="1">
        <f>IFERROR(__xludf.DUMMYFUNCTION("""COMPUTED_VALUE"""),152.13)</f>
        <v>152.13</v>
      </c>
      <c r="I722" s="5">
        <f t="shared" si="1"/>
        <v>-0.005754712</v>
      </c>
      <c r="K722" s="5">
        <f t="shared" si="2"/>
        <v>0.000144910035</v>
      </c>
      <c r="L722" s="5">
        <f t="shared" si="3"/>
        <v>0.01711993739</v>
      </c>
      <c r="M722" s="5">
        <f t="shared" si="4"/>
        <v>0.01268651811</v>
      </c>
      <c r="Q722" s="5"/>
    </row>
    <row r="723">
      <c r="A723" s="4">
        <f>IFERROR(__xludf.DUMMYFUNCTION("""COMPUTED_VALUE"""),45330.66666666667)</f>
        <v>45330.66667</v>
      </c>
      <c r="B723" s="1">
        <f>IFERROR(__xludf.DUMMYFUNCTION("""COMPUTED_VALUE"""),188.32)</f>
        <v>188.32</v>
      </c>
      <c r="C723" s="4">
        <f>IFERROR(__xludf.DUMMYFUNCTION("""COMPUTED_VALUE"""),45330.66666666667)</f>
        <v>45330.66667</v>
      </c>
      <c r="D723" s="1">
        <f>IFERROR(__xludf.DUMMYFUNCTION("""COMPUTED_VALUE"""),414.11)</f>
        <v>414.11</v>
      </c>
      <c r="E723" s="4">
        <f>IFERROR(__xludf.DUMMYFUNCTION("""COMPUTED_VALUE"""),45330.66666666667)</f>
        <v>45330.66667</v>
      </c>
      <c r="F723" s="1">
        <f>IFERROR(__xludf.DUMMYFUNCTION("""COMPUTED_VALUE"""),103.97)</f>
        <v>103.97</v>
      </c>
      <c r="G723" s="4">
        <f>IFERROR(__xludf.DUMMYFUNCTION("""COMPUTED_VALUE"""),45330.66666666667)</f>
        <v>45330.66667</v>
      </c>
      <c r="H723" s="1">
        <f>IFERROR(__xludf.DUMMYFUNCTION("""COMPUTED_VALUE"""),154.06)</f>
        <v>154.06</v>
      </c>
      <c r="I723" s="5">
        <f t="shared" si="1"/>
        <v>0.002814358539</v>
      </c>
      <c r="K723" s="5">
        <f t="shared" si="2"/>
        <v>0.01555142353</v>
      </c>
      <c r="L723" s="5">
        <f t="shared" si="3"/>
        <v>-0.02115994999</v>
      </c>
      <c r="M723" s="5">
        <f t="shared" si="4"/>
        <v>-0.01960275217</v>
      </c>
      <c r="Q723" s="5"/>
    </row>
    <row r="724">
      <c r="A724" s="4">
        <f>IFERROR(__xludf.DUMMYFUNCTION("""COMPUTED_VALUE"""),45331.66666666667)</f>
        <v>45331.66667</v>
      </c>
      <c r="B724" s="1">
        <f>IFERROR(__xludf.DUMMYFUNCTION("""COMPUTED_VALUE"""),188.85)</f>
        <v>188.85</v>
      </c>
      <c r="C724" s="4">
        <f>IFERROR(__xludf.DUMMYFUNCTION("""COMPUTED_VALUE"""),45331.66666666667)</f>
        <v>45331.66667</v>
      </c>
      <c r="D724" s="1">
        <f>IFERROR(__xludf.DUMMYFUNCTION("""COMPUTED_VALUE"""),420.55)</f>
        <v>420.55</v>
      </c>
      <c r="E724" s="4">
        <f>IFERROR(__xludf.DUMMYFUNCTION("""COMPUTED_VALUE"""),45331.66666666667)</f>
        <v>45331.66667</v>
      </c>
      <c r="F724" s="1">
        <f>IFERROR(__xludf.DUMMYFUNCTION("""COMPUTED_VALUE"""),101.77)</f>
        <v>101.77</v>
      </c>
      <c r="G724" s="4">
        <f>IFERROR(__xludf.DUMMYFUNCTION("""COMPUTED_VALUE"""),45331.66666666667)</f>
        <v>45331.66667</v>
      </c>
      <c r="H724" s="1">
        <f>IFERROR(__xludf.DUMMYFUNCTION("""COMPUTED_VALUE"""),151.04)</f>
        <v>151.04</v>
      </c>
      <c r="I724" s="5">
        <f t="shared" si="1"/>
        <v>-0.009001853323</v>
      </c>
      <c r="K724" s="5">
        <f t="shared" si="2"/>
        <v>-0.0125787659</v>
      </c>
      <c r="L724" s="5">
        <f t="shared" si="3"/>
        <v>0.01375650978</v>
      </c>
      <c r="M724" s="5">
        <f t="shared" si="4"/>
        <v>0.00688559322</v>
      </c>
      <c r="Q724" s="5"/>
    </row>
    <row r="725">
      <c r="A725" s="4">
        <f>IFERROR(__xludf.DUMMYFUNCTION("""COMPUTED_VALUE"""),45334.66666666667)</f>
        <v>45334.66667</v>
      </c>
      <c r="B725" s="1">
        <f>IFERROR(__xludf.DUMMYFUNCTION("""COMPUTED_VALUE"""),187.15)</f>
        <v>187.15</v>
      </c>
      <c r="C725" s="4">
        <f>IFERROR(__xludf.DUMMYFUNCTION("""COMPUTED_VALUE"""),45334.66666666667)</f>
        <v>45334.66667</v>
      </c>
      <c r="D725" s="1">
        <f>IFERROR(__xludf.DUMMYFUNCTION("""COMPUTED_VALUE"""),415.26)</f>
        <v>415.26</v>
      </c>
      <c r="E725" s="4">
        <f>IFERROR(__xludf.DUMMYFUNCTION("""COMPUTED_VALUE"""),45334.66666666667)</f>
        <v>45334.66667</v>
      </c>
      <c r="F725" s="1">
        <f>IFERROR(__xludf.DUMMYFUNCTION("""COMPUTED_VALUE"""),103.17)</f>
        <v>103.17</v>
      </c>
      <c r="G725" s="4">
        <f>IFERROR(__xludf.DUMMYFUNCTION("""COMPUTED_VALUE"""),45334.66666666667)</f>
        <v>45334.66667</v>
      </c>
      <c r="H725" s="1">
        <f>IFERROR(__xludf.DUMMYFUNCTION("""COMPUTED_VALUE"""),152.08)</f>
        <v>152.08</v>
      </c>
      <c r="I725" s="5">
        <f t="shared" si="1"/>
        <v>-0.01127437884</v>
      </c>
      <c r="K725" s="5">
        <f t="shared" si="2"/>
        <v>-0.02152868083</v>
      </c>
      <c r="L725" s="5">
        <f t="shared" si="3"/>
        <v>-0.01773771445</v>
      </c>
      <c r="M725" s="5">
        <f t="shared" si="4"/>
        <v>-0.009731720147</v>
      </c>
      <c r="Q725" s="5"/>
    </row>
    <row r="726">
      <c r="A726" s="4">
        <f>IFERROR(__xludf.DUMMYFUNCTION("""COMPUTED_VALUE"""),45335.66666666667)</f>
        <v>45335.66667</v>
      </c>
      <c r="B726" s="1">
        <f>IFERROR(__xludf.DUMMYFUNCTION("""COMPUTED_VALUE"""),185.04)</f>
        <v>185.04</v>
      </c>
      <c r="C726" s="4">
        <f>IFERROR(__xludf.DUMMYFUNCTION("""COMPUTED_VALUE"""),45335.66666666667)</f>
        <v>45335.66667</v>
      </c>
      <c r="D726" s="1">
        <f>IFERROR(__xludf.DUMMYFUNCTION("""COMPUTED_VALUE"""),406.32)</f>
        <v>406.32</v>
      </c>
      <c r="E726" s="4">
        <f>IFERROR(__xludf.DUMMYFUNCTION("""COMPUTED_VALUE"""),45335.66666666667)</f>
        <v>45335.66667</v>
      </c>
      <c r="F726" s="1">
        <f>IFERROR(__xludf.DUMMYFUNCTION("""COMPUTED_VALUE"""),101.34)</f>
        <v>101.34</v>
      </c>
      <c r="G726" s="4">
        <f>IFERROR(__xludf.DUMMYFUNCTION("""COMPUTED_VALUE"""),45335.66666666667)</f>
        <v>45335.66667</v>
      </c>
      <c r="H726" s="1">
        <f>IFERROR(__xludf.DUMMYFUNCTION("""COMPUTED_VALUE"""),150.6)</f>
        <v>150.6</v>
      </c>
      <c r="I726" s="5">
        <f t="shared" si="1"/>
        <v>-0.00480977086</v>
      </c>
      <c r="K726" s="5">
        <f t="shared" si="2"/>
        <v>0.007801732625</v>
      </c>
      <c r="L726" s="5">
        <f t="shared" si="3"/>
        <v>-0.004933885929</v>
      </c>
      <c r="M726" s="5">
        <f t="shared" si="4"/>
        <v>0.002722443559</v>
      </c>
      <c r="Q726" s="5"/>
    </row>
    <row r="727">
      <c r="A727" s="4">
        <f>IFERROR(__xludf.DUMMYFUNCTION("""COMPUTED_VALUE"""),45336.66666666667)</f>
        <v>45336.66667</v>
      </c>
      <c r="B727" s="1">
        <f>IFERROR(__xludf.DUMMYFUNCTION("""COMPUTED_VALUE"""),184.15)</f>
        <v>184.15</v>
      </c>
      <c r="C727" s="4">
        <f>IFERROR(__xludf.DUMMYFUNCTION("""COMPUTED_VALUE"""),45336.66666666667)</f>
        <v>45336.66667</v>
      </c>
      <c r="D727" s="1">
        <f>IFERROR(__xludf.DUMMYFUNCTION("""COMPUTED_VALUE"""),409.49)</f>
        <v>409.49</v>
      </c>
      <c r="E727" s="4">
        <f>IFERROR(__xludf.DUMMYFUNCTION("""COMPUTED_VALUE"""),45336.66666666667)</f>
        <v>45336.66667</v>
      </c>
      <c r="F727" s="1">
        <f>IFERROR(__xludf.DUMMYFUNCTION("""COMPUTED_VALUE"""),100.84)</f>
        <v>100.84</v>
      </c>
      <c r="G727" s="4">
        <f>IFERROR(__xludf.DUMMYFUNCTION("""COMPUTED_VALUE"""),45336.66666666667)</f>
        <v>45336.66667</v>
      </c>
      <c r="H727" s="1">
        <f>IFERROR(__xludf.DUMMYFUNCTION("""COMPUTED_VALUE"""),151.01)</f>
        <v>151.01</v>
      </c>
      <c r="I727" s="5">
        <f t="shared" si="1"/>
        <v>-0.00157480315</v>
      </c>
      <c r="K727" s="5">
        <f t="shared" si="2"/>
        <v>-0.007155241886</v>
      </c>
      <c r="L727" s="5">
        <f t="shared" si="3"/>
        <v>0.0286592622</v>
      </c>
      <c r="M727" s="5">
        <f t="shared" si="4"/>
        <v>0.02284616913</v>
      </c>
      <c r="Q727" s="5"/>
    </row>
    <row r="728">
      <c r="A728" s="4">
        <f>IFERROR(__xludf.DUMMYFUNCTION("""COMPUTED_VALUE"""),45337.66666666667)</f>
        <v>45337.66667</v>
      </c>
      <c r="B728" s="1">
        <f>IFERROR(__xludf.DUMMYFUNCTION("""COMPUTED_VALUE"""),183.86)</f>
        <v>183.86</v>
      </c>
      <c r="C728" s="4">
        <f>IFERROR(__xludf.DUMMYFUNCTION("""COMPUTED_VALUE"""),45337.66666666667)</f>
        <v>45337.66667</v>
      </c>
      <c r="D728" s="1">
        <f>IFERROR(__xludf.DUMMYFUNCTION("""COMPUTED_VALUE"""),406.56)</f>
        <v>406.56</v>
      </c>
      <c r="E728" s="4">
        <f>IFERROR(__xludf.DUMMYFUNCTION("""COMPUTED_VALUE"""),45337.66666666667)</f>
        <v>45337.66667</v>
      </c>
      <c r="F728" s="1">
        <f>IFERROR(__xludf.DUMMYFUNCTION("""COMPUTED_VALUE"""),103.73)</f>
        <v>103.73</v>
      </c>
      <c r="G728" s="4">
        <f>IFERROR(__xludf.DUMMYFUNCTION("""COMPUTED_VALUE"""),45337.66666666667)</f>
        <v>45337.66667</v>
      </c>
      <c r="H728" s="1">
        <f>IFERROR(__xludf.DUMMYFUNCTION("""COMPUTED_VALUE"""),154.46)</f>
        <v>154.46</v>
      </c>
      <c r="I728" s="5">
        <f t="shared" si="1"/>
        <v>-0.008430327423</v>
      </c>
      <c r="K728" s="5">
        <f t="shared" si="2"/>
        <v>-0.006149153876</v>
      </c>
      <c r="L728" s="5">
        <f t="shared" si="3"/>
        <v>0</v>
      </c>
      <c r="M728" s="5">
        <f t="shared" si="4"/>
        <v>0.001100608572</v>
      </c>
      <c r="Q728" s="5"/>
    </row>
    <row r="729">
      <c r="A729" s="4">
        <f>IFERROR(__xludf.DUMMYFUNCTION("""COMPUTED_VALUE"""),45338.66666666667)</f>
        <v>45338.66667</v>
      </c>
      <c r="B729" s="1">
        <f>IFERROR(__xludf.DUMMYFUNCTION("""COMPUTED_VALUE"""),182.31)</f>
        <v>182.31</v>
      </c>
      <c r="C729" s="4">
        <f>IFERROR(__xludf.DUMMYFUNCTION("""COMPUTED_VALUE"""),45338.66666666667)</f>
        <v>45338.66667</v>
      </c>
      <c r="D729" s="1">
        <f>IFERROR(__xludf.DUMMYFUNCTION("""COMPUTED_VALUE"""),404.06)</f>
        <v>404.06</v>
      </c>
      <c r="E729" s="4">
        <f>IFERROR(__xludf.DUMMYFUNCTION("""COMPUTED_VALUE"""),45338.66666666667)</f>
        <v>45338.66667</v>
      </c>
      <c r="F729" s="1">
        <f>IFERROR(__xludf.DUMMYFUNCTION("""COMPUTED_VALUE"""),103.73)</f>
        <v>103.73</v>
      </c>
      <c r="G729" s="4">
        <f>IFERROR(__xludf.DUMMYFUNCTION("""COMPUTED_VALUE"""),45338.66666666667)</f>
        <v>45338.66667</v>
      </c>
      <c r="H729" s="1">
        <f>IFERROR(__xludf.DUMMYFUNCTION("""COMPUTED_VALUE"""),154.63)</f>
        <v>154.63</v>
      </c>
      <c r="I729" s="5">
        <f t="shared" si="1"/>
        <v>-0.004113871976</v>
      </c>
      <c r="K729" s="5">
        <f t="shared" si="2"/>
        <v>-0.00314309756</v>
      </c>
      <c r="L729" s="5">
        <f t="shared" si="3"/>
        <v>-0.009447604357</v>
      </c>
      <c r="M729" s="5">
        <f t="shared" si="4"/>
        <v>-0.004074241738</v>
      </c>
      <c r="Q729" s="5"/>
    </row>
    <row r="730">
      <c r="A730" s="4">
        <f>IFERROR(__xludf.DUMMYFUNCTION("""COMPUTED_VALUE"""),45342.66666666667)</f>
        <v>45342.66667</v>
      </c>
      <c r="B730" s="1">
        <f>IFERROR(__xludf.DUMMYFUNCTION("""COMPUTED_VALUE"""),181.56)</f>
        <v>181.56</v>
      </c>
      <c r="C730" s="4">
        <f>IFERROR(__xludf.DUMMYFUNCTION("""COMPUTED_VALUE"""),45342.66666666667)</f>
        <v>45342.66667</v>
      </c>
      <c r="D730" s="1">
        <f>IFERROR(__xludf.DUMMYFUNCTION("""COMPUTED_VALUE"""),402.79)</f>
        <v>402.79</v>
      </c>
      <c r="E730" s="4">
        <f>IFERROR(__xludf.DUMMYFUNCTION("""COMPUTED_VALUE"""),45342.66666666667)</f>
        <v>45342.66667</v>
      </c>
      <c r="F730" s="1">
        <f>IFERROR(__xludf.DUMMYFUNCTION("""COMPUTED_VALUE"""),102.75)</f>
        <v>102.75</v>
      </c>
      <c r="G730" s="4">
        <f>IFERROR(__xludf.DUMMYFUNCTION("""COMPUTED_VALUE"""),45342.66666666667)</f>
        <v>45342.66667</v>
      </c>
      <c r="H730" s="1">
        <f>IFERROR(__xludf.DUMMYFUNCTION("""COMPUTED_VALUE"""),154.0)</f>
        <v>154</v>
      </c>
      <c r="I730" s="5">
        <f t="shared" si="1"/>
        <v>0.004185944041</v>
      </c>
      <c r="K730" s="5">
        <f t="shared" si="2"/>
        <v>-0.001514436803</v>
      </c>
      <c r="L730" s="5">
        <f t="shared" si="3"/>
        <v>0.0204379562</v>
      </c>
      <c r="M730" s="5">
        <f t="shared" si="4"/>
        <v>0.009350649351</v>
      </c>
      <c r="Q730" s="5"/>
    </row>
    <row r="731">
      <c r="A731" s="4">
        <f>IFERROR(__xludf.DUMMYFUNCTION("""COMPUTED_VALUE"""),45343.66666666667)</f>
        <v>45343.66667</v>
      </c>
      <c r="B731" s="1">
        <f>IFERROR(__xludf.DUMMYFUNCTION("""COMPUTED_VALUE"""),182.32)</f>
        <v>182.32</v>
      </c>
      <c r="C731" s="4">
        <f>IFERROR(__xludf.DUMMYFUNCTION("""COMPUTED_VALUE"""),45343.66666666667)</f>
        <v>45343.66667</v>
      </c>
      <c r="D731" s="1">
        <f>IFERROR(__xludf.DUMMYFUNCTION("""COMPUTED_VALUE"""),402.18)</f>
        <v>402.18</v>
      </c>
      <c r="E731" s="4">
        <f>IFERROR(__xludf.DUMMYFUNCTION("""COMPUTED_VALUE"""),45343.66666666667)</f>
        <v>45343.66667</v>
      </c>
      <c r="F731" s="1">
        <f>IFERROR(__xludf.DUMMYFUNCTION("""COMPUTED_VALUE"""),104.85)</f>
        <v>104.85</v>
      </c>
      <c r="G731" s="4">
        <f>IFERROR(__xludf.DUMMYFUNCTION("""COMPUTED_VALUE"""),45343.66666666667)</f>
        <v>45343.66667</v>
      </c>
      <c r="H731" s="1">
        <f>IFERROR(__xludf.DUMMYFUNCTION("""COMPUTED_VALUE"""),155.44)</f>
        <v>155.44</v>
      </c>
      <c r="I731" s="5">
        <f t="shared" si="1"/>
        <v>0.01124396665</v>
      </c>
      <c r="K731" s="5">
        <f t="shared" si="2"/>
        <v>0.02354667064</v>
      </c>
      <c r="L731" s="5">
        <f t="shared" si="3"/>
        <v>-0.0008583690987</v>
      </c>
      <c r="M731" s="5">
        <f t="shared" si="4"/>
        <v>-0.00006433350489</v>
      </c>
      <c r="Q731" s="5"/>
    </row>
    <row r="732">
      <c r="A732" s="4">
        <f>IFERROR(__xludf.DUMMYFUNCTION("""COMPUTED_VALUE"""),45344.66666666667)</f>
        <v>45344.66667</v>
      </c>
      <c r="B732" s="1">
        <f>IFERROR(__xludf.DUMMYFUNCTION("""COMPUTED_VALUE"""),184.37)</f>
        <v>184.37</v>
      </c>
      <c r="C732" s="4">
        <f>IFERROR(__xludf.DUMMYFUNCTION("""COMPUTED_VALUE"""),45344.66666666667)</f>
        <v>45344.66667</v>
      </c>
      <c r="D732" s="1">
        <f>IFERROR(__xludf.DUMMYFUNCTION("""COMPUTED_VALUE"""),411.65)</f>
        <v>411.65</v>
      </c>
      <c r="E732" s="4">
        <f>IFERROR(__xludf.DUMMYFUNCTION("""COMPUTED_VALUE"""),45344.66666666667)</f>
        <v>45344.66667</v>
      </c>
      <c r="F732" s="1">
        <f>IFERROR(__xludf.DUMMYFUNCTION("""COMPUTED_VALUE"""),104.76)</f>
        <v>104.76</v>
      </c>
      <c r="G732" s="4">
        <f>IFERROR(__xludf.DUMMYFUNCTION("""COMPUTED_VALUE"""),45344.66666666667)</f>
        <v>45344.66667</v>
      </c>
      <c r="H732" s="1">
        <f>IFERROR(__xludf.DUMMYFUNCTION("""COMPUTED_VALUE"""),155.43)</f>
        <v>155.43</v>
      </c>
      <c r="I732" s="5">
        <f t="shared" si="1"/>
        <v>-0.01003417042</v>
      </c>
      <c r="K732" s="5">
        <f t="shared" si="2"/>
        <v>-0.003182315073</v>
      </c>
      <c r="L732" s="5">
        <f t="shared" si="3"/>
        <v>-0.008781977854</v>
      </c>
      <c r="M732" s="5">
        <f t="shared" si="4"/>
        <v>-0.004953998585</v>
      </c>
      <c r="Q732" s="5"/>
    </row>
    <row r="733">
      <c r="A733" s="4">
        <f>IFERROR(__xludf.DUMMYFUNCTION("""COMPUTED_VALUE"""),45345.66666666667)</f>
        <v>45345.66667</v>
      </c>
      <c r="B733" s="1">
        <f>IFERROR(__xludf.DUMMYFUNCTION("""COMPUTED_VALUE"""),182.52)</f>
        <v>182.52</v>
      </c>
      <c r="C733" s="4">
        <f>IFERROR(__xludf.DUMMYFUNCTION("""COMPUTED_VALUE"""),45345.66666666667)</f>
        <v>45345.66667</v>
      </c>
      <c r="D733" s="1">
        <f>IFERROR(__xludf.DUMMYFUNCTION("""COMPUTED_VALUE"""),410.34)</f>
        <v>410.34</v>
      </c>
      <c r="E733" s="4">
        <f>IFERROR(__xludf.DUMMYFUNCTION("""COMPUTED_VALUE"""),45345.66666666667)</f>
        <v>45345.66667</v>
      </c>
      <c r="F733" s="1">
        <f>IFERROR(__xludf.DUMMYFUNCTION("""COMPUTED_VALUE"""),103.84)</f>
        <v>103.84</v>
      </c>
      <c r="G733" s="4">
        <f>IFERROR(__xludf.DUMMYFUNCTION("""COMPUTED_VALUE"""),45345.66666666667)</f>
        <v>45345.66667</v>
      </c>
      <c r="H733" s="1">
        <f>IFERROR(__xludf.DUMMYFUNCTION("""COMPUTED_VALUE"""),154.66)</f>
        <v>154.66</v>
      </c>
      <c r="I733" s="5">
        <f t="shared" si="1"/>
        <v>-0.00745123822</v>
      </c>
      <c r="K733" s="5">
        <f t="shared" si="2"/>
        <v>-0.00682360969</v>
      </c>
      <c r="L733" s="5">
        <f t="shared" si="3"/>
        <v>0.003948382126</v>
      </c>
      <c r="M733" s="5">
        <f t="shared" si="4"/>
        <v>-0.001357817147</v>
      </c>
      <c r="Q733" s="5"/>
    </row>
    <row r="734">
      <c r="A734" s="4">
        <f>IFERROR(__xludf.DUMMYFUNCTION("""COMPUTED_VALUE"""),45348.66666666667)</f>
        <v>45348.66667</v>
      </c>
      <c r="B734" s="1">
        <f>IFERROR(__xludf.DUMMYFUNCTION("""COMPUTED_VALUE"""),181.16)</f>
        <v>181.16</v>
      </c>
      <c r="C734" s="4">
        <f>IFERROR(__xludf.DUMMYFUNCTION("""COMPUTED_VALUE"""),45348.66666666667)</f>
        <v>45348.66667</v>
      </c>
      <c r="D734" s="1">
        <f>IFERROR(__xludf.DUMMYFUNCTION("""COMPUTED_VALUE"""),407.54)</f>
        <v>407.54</v>
      </c>
      <c r="E734" s="4">
        <f>IFERROR(__xludf.DUMMYFUNCTION("""COMPUTED_VALUE"""),45348.66666666667)</f>
        <v>45348.66667</v>
      </c>
      <c r="F734" s="1">
        <f>IFERROR(__xludf.DUMMYFUNCTION("""COMPUTED_VALUE"""),104.25)</f>
        <v>104.25</v>
      </c>
      <c r="G734" s="4">
        <f>IFERROR(__xludf.DUMMYFUNCTION("""COMPUTED_VALUE"""),45348.66666666667)</f>
        <v>45348.66667</v>
      </c>
      <c r="H734" s="1">
        <f>IFERROR(__xludf.DUMMYFUNCTION("""COMPUTED_VALUE"""),154.45)</f>
        <v>154.45</v>
      </c>
      <c r="I734" s="5">
        <f t="shared" si="1"/>
        <v>0.008114374034</v>
      </c>
      <c r="K734" s="5">
        <f t="shared" si="2"/>
        <v>-0.0001472248123</v>
      </c>
      <c r="L734" s="5">
        <f t="shared" si="3"/>
        <v>-0.002110311751</v>
      </c>
      <c r="M734" s="5">
        <f t="shared" si="4"/>
        <v>-0.01482680479</v>
      </c>
      <c r="Q734" s="5"/>
    </row>
    <row r="735">
      <c r="A735" s="4">
        <f>IFERROR(__xludf.DUMMYFUNCTION("""COMPUTED_VALUE"""),45349.66666666667)</f>
        <v>45349.66667</v>
      </c>
      <c r="B735" s="1">
        <f>IFERROR(__xludf.DUMMYFUNCTION("""COMPUTED_VALUE"""),182.63)</f>
        <v>182.63</v>
      </c>
      <c r="C735" s="4">
        <f>IFERROR(__xludf.DUMMYFUNCTION("""COMPUTED_VALUE"""),45349.66666666667)</f>
        <v>45349.66667</v>
      </c>
      <c r="D735" s="1">
        <f>IFERROR(__xludf.DUMMYFUNCTION("""COMPUTED_VALUE"""),407.48)</f>
        <v>407.48</v>
      </c>
      <c r="E735" s="4">
        <f>IFERROR(__xludf.DUMMYFUNCTION("""COMPUTED_VALUE"""),45349.66666666667)</f>
        <v>45349.66667</v>
      </c>
      <c r="F735" s="1">
        <f>IFERROR(__xludf.DUMMYFUNCTION("""COMPUTED_VALUE"""),104.03)</f>
        <v>104.03</v>
      </c>
      <c r="G735" s="4">
        <f>IFERROR(__xludf.DUMMYFUNCTION("""COMPUTED_VALUE"""),45349.66666666667)</f>
        <v>45349.66667</v>
      </c>
      <c r="H735" s="1">
        <f>IFERROR(__xludf.DUMMYFUNCTION("""COMPUTED_VALUE"""),152.16)</f>
        <v>152.16</v>
      </c>
      <c r="I735" s="5">
        <f t="shared" si="1"/>
        <v>-0.006625417511</v>
      </c>
      <c r="K735" s="5">
        <f t="shared" si="2"/>
        <v>0.0005889859625</v>
      </c>
      <c r="L735" s="5">
        <f t="shared" si="3"/>
        <v>0.002787657407</v>
      </c>
      <c r="M735" s="5">
        <f t="shared" si="4"/>
        <v>0.0011829653</v>
      </c>
      <c r="Q735" s="5"/>
    </row>
    <row r="736">
      <c r="A736" s="4">
        <f>IFERROR(__xludf.DUMMYFUNCTION("""COMPUTED_VALUE"""),45350.66666666667)</f>
        <v>45350.66667</v>
      </c>
      <c r="B736" s="1">
        <f>IFERROR(__xludf.DUMMYFUNCTION("""COMPUTED_VALUE"""),181.42)</f>
        <v>181.42</v>
      </c>
      <c r="C736" s="4">
        <f>IFERROR(__xludf.DUMMYFUNCTION("""COMPUTED_VALUE"""),45350.66666666667)</f>
        <v>45350.66667</v>
      </c>
      <c r="D736" s="1">
        <f>IFERROR(__xludf.DUMMYFUNCTION("""COMPUTED_VALUE"""),407.72)</f>
        <v>407.72</v>
      </c>
      <c r="E736" s="4">
        <f>IFERROR(__xludf.DUMMYFUNCTION("""COMPUTED_VALUE"""),45350.66666666667)</f>
        <v>45350.66667</v>
      </c>
      <c r="F736" s="1">
        <f>IFERROR(__xludf.DUMMYFUNCTION("""COMPUTED_VALUE"""),104.32)</f>
        <v>104.32</v>
      </c>
      <c r="G736" s="4">
        <f>IFERROR(__xludf.DUMMYFUNCTION("""COMPUTED_VALUE"""),45350.66666666667)</f>
        <v>45350.66667</v>
      </c>
      <c r="H736" s="1">
        <f>IFERROR(__xludf.DUMMYFUNCTION("""COMPUTED_VALUE"""),152.34)</f>
        <v>152.34</v>
      </c>
      <c r="I736" s="5">
        <f t="shared" si="1"/>
        <v>-0.003693087862</v>
      </c>
      <c r="K736" s="5">
        <f t="shared" si="2"/>
        <v>0.01451976847</v>
      </c>
      <c r="L736" s="5">
        <f t="shared" si="3"/>
        <v>0.001917177914</v>
      </c>
      <c r="M736" s="5">
        <f t="shared" si="4"/>
        <v>-0.002166207168</v>
      </c>
      <c r="Q736" s="5"/>
    </row>
    <row r="737">
      <c r="A737" s="4">
        <f>IFERROR(__xludf.DUMMYFUNCTION("""COMPUTED_VALUE"""),45351.66666666667)</f>
        <v>45351.66667</v>
      </c>
      <c r="B737" s="1">
        <f>IFERROR(__xludf.DUMMYFUNCTION("""COMPUTED_VALUE"""),180.75)</f>
        <v>180.75</v>
      </c>
      <c r="C737" s="4">
        <f>IFERROR(__xludf.DUMMYFUNCTION("""COMPUTED_VALUE"""),45351.66666666667)</f>
        <v>45351.66667</v>
      </c>
      <c r="D737" s="1">
        <f>IFERROR(__xludf.DUMMYFUNCTION("""COMPUTED_VALUE"""),413.64)</f>
        <v>413.64</v>
      </c>
      <c r="E737" s="4">
        <f>IFERROR(__xludf.DUMMYFUNCTION("""COMPUTED_VALUE"""),45351.66666666667)</f>
        <v>45351.66667</v>
      </c>
      <c r="F737" s="1">
        <f>IFERROR(__xludf.DUMMYFUNCTION("""COMPUTED_VALUE"""),104.52)</f>
        <v>104.52</v>
      </c>
      <c r="G737" s="4">
        <f>IFERROR(__xludf.DUMMYFUNCTION("""COMPUTED_VALUE"""),45351.66666666667)</f>
        <v>45351.66667</v>
      </c>
      <c r="H737" s="1">
        <f>IFERROR(__xludf.DUMMYFUNCTION("""COMPUTED_VALUE"""),152.01)</f>
        <v>152.01</v>
      </c>
      <c r="I737" s="5">
        <f t="shared" si="1"/>
        <v>-0.006030428769</v>
      </c>
      <c r="K737" s="5">
        <f t="shared" si="2"/>
        <v>0.004496663766</v>
      </c>
      <c r="L737" s="5">
        <f t="shared" si="3"/>
        <v>0.01262916188</v>
      </c>
      <c r="M737" s="5">
        <f t="shared" si="4"/>
        <v>0.005262811657</v>
      </c>
      <c r="Q737" s="5"/>
    </row>
    <row r="738">
      <c r="A738" s="4">
        <f>IFERROR(__xludf.DUMMYFUNCTION("""COMPUTED_VALUE"""),45352.66666666667)</f>
        <v>45352.66667</v>
      </c>
      <c r="B738" s="1">
        <f>IFERROR(__xludf.DUMMYFUNCTION("""COMPUTED_VALUE"""),179.66)</f>
        <v>179.66</v>
      </c>
      <c r="C738" s="4">
        <f>IFERROR(__xludf.DUMMYFUNCTION("""COMPUTED_VALUE"""),45352.66666666667)</f>
        <v>45352.66667</v>
      </c>
      <c r="D738" s="1">
        <f>IFERROR(__xludf.DUMMYFUNCTION("""COMPUTED_VALUE"""),415.5)</f>
        <v>415.5</v>
      </c>
      <c r="E738" s="4">
        <f>IFERROR(__xludf.DUMMYFUNCTION("""COMPUTED_VALUE"""),45352.66666666667)</f>
        <v>45352.66667</v>
      </c>
      <c r="F738" s="1">
        <f>IFERROR(__xludf.DUMMYFUNCTION("""COMPUTED_VALUE"""),105.84)</f>
        <v>105.84</v>
      </c>
      <c r="G738" s="4">
        <f>IFERROR(__xludf.DUMMYFUNCTION("""COMPUTED_VALUE"""),45352.66666666667)</f>
        <v>45352.66667</v>
      </c>
      <c r="H738" s="1">
        <f>IFERROR(__xludf.DUMMYFUNCTION("""COMPUTED_VALUE"""),152.81)</f>
        <v>152.81</v>
      </c>
      <c r="I738" s="5">
        <f t="shared" si="1"/>
        <v>-0.02538127574</v>
      </c>
      <c r="K738" s="5">
        <f t="shared" si="2"/>
        <v>-0.001395908544</v>
      </c>
      <c r="L738" s="5">
        <f t="shared" si="3"/>
        <v>-0.01398337113</v>
      </c>
      <c r="M738" s="5">
        <f t="shared" si="4"/>
        <v>-0.02571821216</v>
      </c>
      <c r="Q738" s="5"/>
    </row>
    <row r="739">
      <c r="A739" s="4">
        <f>IFERROR(__xludf.DUMMYFUNCTION("""COMPUTED_VALUE"""),45355.66666666667)</f>
        <v>45355.66667</v>
      </c>
      <c r="B739" s="1">
        <f>IFERROR(__xludf.DUMMYFUNCTION("""COMPUTED_VALUE"""),175.1)</f>
        <v>175.1</v>
      </c>
      <c r="C739" s="4">
        <f>IFERROR(__xludf.DUMMYFUNCTION("""COMPUTED_VALUE"""),45355.66666666667)</f>
        <v>45355.66667</v>
      </c>
      <c r="D739" s="1">
        <f>IFERROR(__xludf.DUMMYFUNCTION("""COMPUTED_VALUE"""),414.92)</f>
        <v>414.92</v>
      </c>
      <c r="E739" s="4">
        <f>IFERROR(__xludf.DUMMYFUNCTION("""COMPUTED_VALUE"""),45355.66666666667)</f>
        <v>45355.66667</v>
      </c>
      <c r="F739" s="1">
        <f>IFERROR(__xludf.DUMMYFUNCTION("""COMPUTED_VALUE"""),104.36)</f>
        <v>104.36</v>
      </c>
      <c r="G739" s="4">
        <f>IFERROR(__xludf.DUMMYFUNCTION("""COMPUTED_VALUE"""),45355.66666666667)</f>
        <v>45355.66667</v>
      </c>
      <c r="H739" s="1">
        <f>IFERROR(__xludf.DUMMYFUNCTION("""COMPUTED_VALUE"""),148.88)</f>
        <v>148.88</v>
      </c>
      <c r="I739" s="5">
        <f t="shared" si="1"/>
        <v>-0.02844089092</v>
      </c>
      <c r="K739" s="5">
        <f t="shared" si="2"/>
        <v>-0.02957196568</v>
      </c>
      <c r="L739" s="5">
        <f t="shared" si="3"/>
        <v>0.01226523572</v>
      </c>
      <c r="M739" s="5">
        <f t="shared" si="4"/>
        <v>0.004768941429</v>
      </c>
      <c r="Q739" s="5"/>
    </row>
    <row r="740">
      <c r="A740" s="4">
        <f>IFERROR(__xludf.DUMMYFUNCTION("""COMPUTED_VALUE"""),45356.66666666667)</f>
        <v>45356.66667</v>
      </c>
      <c r="B740" s="1">
        <f>IFERROR(__xludf.DUMMYFUNCTION("""COMPUTED_VALUE"""),170.12)</f>
        <v>170.12</v>
      </c>
      <c r="C740" s="4">
        <f>IFERROR(__xludf.DUMMYFUNCTION("""COMPUTED_VALUE"""),45356.66666666667)</f>
        <v>45356.66667</v>
      </c>
      <c r="D740" s="1">
        <f>IFERROR(__xludf.DUMMYFUNCTION("""COMPUTED_VALUE"""),402.65)</f>
        <v>402.65</v>
      </c>
      <c r="E740" s="4">
        <f>IFERROR(__xludf.DUMMYFUNCTION("""COMPUTED_VALUE"""),45356.66666666667)</f>
        <v>45356.66667</v>
      </c>
      <c r="F740" s="1">
        <f>IFERROR(__xludf.DUMMYFUNCTION("""COMPUTED_VALUE"""),105.64)</f>
        <v>105.64</v>
      </c>
      <c r="G740" s="4">
        <f>IFERROR(__xludf.DUMMYFUNCTION("""COMPUTED_VALUE"""),45356.66666666667)</f>
        <v>45356.66667</v>
      </c>
      <c r="H740" s="1">
        <f>IFERROR(__xludf.DUMMYFUNCTION("""COMPUTED_VALUE"""),149.59)</f>
        <v>149.59</v>
      </c>
      <c r="I740" s="5">
        <f t="shared" si="1"/>
        <v>-0.005878203621</v>
      </c>
      <c r="K740" s="5">
        <f t="shared" si="2"/>
        <v>-0.001390786042</v>
      </c>
      <c r="L740" s="5">
        <f t="shared" si="3"/>
        <v>0.01069670579</v>
      </c>
      <c r="M740" s="5">
        <f t="shared" si="4"/>
        <v>-0.008423022929</v>
      </c>
      <c r="Q740" s="5"/>
    </row>
    <row r="741">
      <c r="A741" s="4">
        <f>IFERROR(__xludf.DUMMYFUNCTION("""COMPUTED_VALUE"""),45357.66666666667)</f>
        <v>45357.66667</v>
      </c>
      <c r="B741" s="1">
        <f>IFERROR(__xludf.DUMMYFUNCTION("""COMPUTED_VALUE"""),169.12)</f>
        <v>169.12</v>
      </c>
      <c r="C741" s="4">
        <f>IFERROR(__xludf.DUMMYFUNCTION("""COMPUTED_VALUE"""),45357.66666666667)</f>
        <v>45357.66667</v>
      </c>
      <c r="D741" s="1">
        <f>IFERROR(__xludf.DUMMYFUNCTION("""COMPUTED_VALUE"""),402.09)</f>
        <v>402.09</v>
      </c>
      <c r="E741" s="4">
        <f>IFERROR(__xludf.DUMMYFUNCTION("""COMPUTED_VALUE"""),45357.66666666667)</f>
        <v>45357.66667</v>
      </c>
      <c r="F741" s="1">
        <f>IFERROR(__xludf.DUMMYFUNCTION("""COMPUTED_VALUE"""),106.77)</f>
        <v>106.77</v>
      </c>
      <c r="G741" s="4">
        <f>IFERROR(__xludf.DUMMYFUNCTION("""COMPUTED_VALUE"""),45357.66666666667)</f>
        <v>45357.66667</v>
      </c>
      <c r="H741" s="1">
        <f>IFERROR(__xludf.DUMMYFUNCTION("""COMPUTED_VALUE"""),148.33)</f>
        <v>148.33</v>
      </c>
      <c r="I741" s="5">
        <f t="shared" si="1"/>
        <v>-0.0007095553453</v>
      </c>
      <c r="K741" s="5">
        <f t="shared" si="2"/>
        <v>0.01753338805</v>
      </c>
      <c r="L741" s="5">
        <f t="shared" si="3"/>
        <v>0.005619556055</v>
      </c>
      <c r="M741" s="5">
        <f t="shared" si="4"/>
        <v>0.007011393514</v>
      </c>
      <c r="Q741" s="5"/>
    </row>
    <row r="742">
      <c r="A742" s="4">
        <f>IFERROR(__xludf.DUMMYFUNCTION("""COMPUTED_VALUE"""),45358.66666666667)</f>
        <v>45358.66667</v>
      </c>
      <c r="B742" s="1">
        <f>IFERROR(__xludf.DUMMYFUNCTION("""COMPUTED_VALUE"""),169.0)</f>
        <v>169</v>
      </c>
      <c r="C742" s="4">
        <f>IFERROR(__xludf.DUMMYFUNCTION("""COMPUTED_VALUE"""),45358.66666666667)</f>
        <v>45358.66667</v>
      </c>
      <c r="D742" s="1">
        <f>IFERROR(__xludf.DUMMYFUNCTION("""COMPUTED_VALUE"""),409.14)</f>
        <v>409.14</v>
      </c>
      <c r="E742" s="4">
        <f>IFERROR(__xludf.DUMMYFUNCTION("""COMPUTED_VALUE"""),45358.66666666667)</f>
        <v>45358.66667</v>
      </c>
      <c r="F742" s="1">
        <f>IFERROR(__xludf.DUMMYFUNCTION("""COMPUTED_VALUE"""),107.37)</f>
        <v>107.37</v>
      </c>
      <c r="G742" s="4">
        <f>IFERROR(__xludf.DUMMYFUNCTION("""COMPUTED_VALUE"""),45358.66666666667)</f>
        <v>45358.66667</v>
      </c>
      <c r="H742" s="1">
        <f>IFERROR(__xludf.DUMMYFUNCTION("""COMPUTED_VALUE"""),149.37)</f>
        <v>149.37</v>
      </c>
      <c r="I742" s="5">
        <f t="shared" si="1"/>
        <v>0.01023668639</v>
      </c>
      <c r="K742" s="5">
        <f t="shared" si="2"/>
        <v>-0.007136921347</v>
      </c>
      <c r="L742" s="5">
        <f t="shared" si="3"/>
        <v>0.009406724411</v>
      </c>
      <c r="M742" s="5">
        <f t="shared" si="4"/>
        <v>0.003414340229</v>
      </c>
      <c r="Q742" s="5"/>
    </row>
    <row r="743">
      <c r="A743" s="4">
        <f>IFERROR(__xludf.DUMMYFUNCTION("""COMPUTED_VALUE"""),45359.66666666667)</f>
        <v>45359.66667</v>
      </c>
      <c r="B743" s="1">
        <f>IFERROR(__xludf.DUMMYFUNCTION("""COMPUTED_VALUE"""),170.73)</f>
        <v>170.73</v>
      </c>
      <c r="C743" s="4">
        <f>IFERROR(__xludf.DUMMYFUNCTION("""COMPUTED_VALUE"""),45359.66666666667)</f>
        <v>45359.66667</v>
      </c>
      <c r="D743" s="1">
        <f>IFERROR(__xludf.DUMMYFUNCTION("""COMPUTED_VALUE"""),406.22)</f>
        <v>406.22</v>
      </c>
      <c r="E743" s="4">
        <f>IFERROR(__xludf.DUMMYFUNCTION("""COMPUTED_VALUE"""),45359.66666666667)</f>
        <v>45359.66667</v>
      </c>
      <c r="F743" s="1">
        <f>IFERROR(__xludf.DUMMYFUNCTION("""COMPUTED_VALUE"""),108.38)</f>
        <v>108.38</v>
      </c>
      <c r="G743" s="4">
        <f>IFERROR(__xludf.DUMMYFUNCTION("""COMPUTED_VALUE"""),45359.66666666667)</f>
        <v>45359.66667</v>
      </c>
      <c r="H743" s="1">
        <f>IFERROR(__xludf.DUMMYFUNCTION("""COMPUTED_VALUE"""),149.88)</f>
        <v>149.88</v>
      </c>
      <c r="I743" s="5">
        <f t="shared" si="1"/>
        <v>0.01183154689</v>
      </c>
      <c r="K743" s="5">
        <f t="shared" si="2"/>
        <v>-0.004184924425</v>
      </c>
      <c r="L743" s="5">
        <f t="shared" si="3"/>
        <v>0.005905148551</v>
      </c>
      <c r="M743" s="5">
        <f t="shared" si="4"/>
        <v>0.01414464905</v>
      </c>
      <c r="Q743" s="5"/>
    </row>
    <row r="744">
      <c r="A744" s="4">
        <f>IFERROR(__xludf.DUMMYFUNCTION("""COMPUTED_VALUE"""),45362.66666666667)</f>
        <v>45362.66667</v>
      </c>
      <c r="B744" s="1">
        <f>IFERROR(__xludf.DUMMYFUNCTION("""COMPUTED_VALUE"""),172.75)</f>
        <v>172.75</v>
      </c>
      <c r="C744" s="4">
        <f>IFERROR(__xludf.DUMMYFUNCTION("""COMPUTED_VALUE"""),45362.66666666667)</f>
        <v>45362.66667</v>
      </c>
      <c r="D744" s="1">
        <f>IFERROR(__xludf.DUMMYFUNCTION("""COMPUTED_VALUE"""),404.52)</f>
        <v>404.52</v>
      </c>
      <c r="E744" s="4">
        <f>IFERROR(__xludf.DUMMYFUNCTION("""COMPUTED_VALUE"""),45362.66666666667)</f>
        <v>45362.66667</v>
      </c>
      <c r="F744" s="1">
        <f>IFERROR(__xludf.DUMMYFUNCTION("""COMPUTED_VALUE"""),109.02)</f>
        <v>109.02</v>
      </c>
      <c r="G744" s="4">
        <f>IFERROR(__xludf.DUMMYFUNCTION("""COMPUTED_VALUE"""),45362.66666666667)</f>
        <v>45362.66667</v>
      </c>
      <c r="H744" s="1">
        <f>IFERROR(__xludf.DUMMYFUNCTION("""COMPUTED_VALUE"""),152.0)</f>
        <v>152</v>
      </c>
      <c r="I744" s="5">
        <f t="shared" si="1"/>
        <v>0.002778581766</v>
      </c>
      <c r="K744" s="5">
        <f t="shared" si="2"/>
        <v>0.02659942648</v>
      </c>
      <c r="L744" s="5">
        <f t="shared" si="3"/>
        <v>-0.006420840213</v>
      </c>
      <c r="M744" s="5">
        <f t="shared" si="4"/>
        <v>-0.0007236842105</v>
      </c>
      <c r="Q744" s="5"/>
    </row>
    <row r="745">
      <c r="A745" s="4">
        <f>IFERROR(__xludf.DUMMYFUNCTION("""COMPUTED_VALUE"""),45363.66666666667)</f>
        <v>45363.66667</v>
      </c>
      <c r="B745" s="1">
        <f>IFERROR(__xludf.DUMMYFUNCTION("""COMPUTED_VALUE"""),173.23)</f>
        <v>173.23</v>
      </c>
      <c r="C745" s="4">
        <f>IFERROR(__xludf.DUMMYFUNCTION("""COMPUTED_VALUE"""),45363.66666666667)</f>
        <v>45363.66667</v>
      </c>
      <c r="D745" s="1">
        <f>IFERROR(__xludf.DUMMYFUNCTION("""COMPUTED_VALUE"""),415.28)</f>
        <v>415.28</v>
      </c>
      <c r="E745" s="4">
        <f>IFERROR(__xludf.DUMMYFUNCTION("""COMPUTED_VALUE"""),45363.66666666667)</f>
        <v>45363.66667</v>
      </c>
      <c r="F745" s="1">
        <f>IFERROR(__xludf.DUMMYFUNCTION("""COMPUTED_VALUE"""),108.32)</f>
        <v>108.32</v>
      </c>
      <c r="G745" s="4">
        <f>IFERROR(__xludf.DUMMYFUNCTION("""COMPUTED_VALUE"""),45363.66666666667)</f>
        <v>45363.66667</v>
      </c>
      <c r="H745" s="1">
        <f>IFERROR(__xludf.DUMMYFUNCTION("""COMPUTED_VALUE"""),151.89)</f>
        <v>151.89</v>
      </c>
      <c r="I745" s="5">
        <f t="shared" si="1"/>
        <v>-0.01212261156</v>
      </c>
      <c r="K745" s="5">
        <f t="shared" si="2"/>
        <v>-0.0004334424966</v>
      </c>
      <c r="L745" s="5">
        <f t="shared" si="3"/>
        <v>0.01117060561</v>
      </c>
      <c r="M745" s="5">
        <f t="shared" si="4"/>
        <v>0.01316742379</v>
      </c>
      <c r="Q745" s="5"/>
    </row>
    <row r="746">
      <c r="A746" s="4">
        <f>IFERROR(__xludf.DUMMYFUNCTION("""COMPUTED_VALUE"""),45364.66666666667)</f>
        <v>45364.66667</v>
      </c>
      <c r="B746" s="1">
        <f>IFERROR(__xludf.DUMMYFUNCTION("""COMPUTED_VALUE"""),171.13)</f>
        <v>171.13</v>
      </c>
      <c r="C746" s="4">
        <f>IFERROR(__xludf.DUMMYFUNCTION("""COMPUTED_VALUE"""),45364.66666666667)</f>
        <v>45364.66667</v>
      </c>
      <c r="D746" s="1">
        <f>IFERROR(__xludf.DUMMYFUNCTION("""COMPUTED_VALUE"""),415.1)</f>
        <v>415.1</v>
      </c>
      <c r="E746" s="4">
        <f>IFERROR(__xludf.DUMMYFUNCTION("""COMPUTED_VALUE"""),45364.66666666667)</f>
        <v>45364.66667</v>
      </c>
      <c r="F746" s="1">
        <f>IFERROR(__xludf.DUMMYFUNCTION("""COMPUTED_VALUE"""),109.53)</f>
        <v>109.53</v>
      </c>
      <c r="G746" s="4">
        <f>IFERROR(__xludf.DUMMYFUNCTION("""COMPUTED_VALUE"""),45364.66666666667)</f>
        <v>45364.66667</v>
      </c>
      <c r="H746" s="1">
        <f>IFERROR(__xludf.DUMMYFUNCTION("""COMPUTED_VALUE"""),153.89)</f>
        <v>153.89</v>
      </c>
      <c r="I746" s="5">
        <f t="shared" si="1"/>
        <v>0.01092736516</v>
      </c>
      <c r="K746" s="5">
        <f t="shared" si="2"/>
        <v>0.02437966755</v>
      </c>
      <c r="L746" s="5">
        <f t="shared" si="3"/>
        <v>0.01771204236</v>
      </c>
      <c r="M746" s="5">
        <f t="shared" si="4"/>
        <v>0.01176164793</v>
      </c>
      <c r="Q746" s="5"/>
    </row>
    <row r="747">
      <c r="A747" s="4">
        <f>IFERROR(__xludf.DUMMYFUNCTION("""COMPUTED_VALUE"""),45365.66666666667)</f>
        <v>45365.66667</v>
      </c>
      <c r="B747" s="1">
        <f>IFERROR(__xludf.DUMMYFUNCTION("""COMPUTED_VALUE"""),173.0)</f>
        <v>173</v>
      </c>
      <c r="C747" s="4">
        <f>IFERROR(__xludf.DUMMYFUNCTION("""COMPUTED_VALUE"""),45365.66666666667)</f>
        <v>45365.66667</v>
      </c>
      <c r="D747" s="1">
        <f>IFERROR(__xludf.DUMMYFUNCTION("""COMPUTED_VALUE"""),425.22)</f>
        <v>425.22</v>
      </c>
      <c r="E747" s="4">
        <f>IFERROR(__xludf.DUMMYFUNCTION("""COMPUTED_VALUE"""),45365.66666666667)</f>
        <v>45365.66667</v>
      </c>
      <c r="F747" s="1">
        <f>IFERROR(__xludf.DUMMYFUNCTION("""COMPUTED_VALUE"""),111.47)</f>
        <v>111.47</v>
      </c>
      <c r="G747" s="4">
        <f>IFERROR(__xludf.DUMMYFUNCTION("""COMPUTED_VALUE"""),45365.66666666667)</f>
        <v>45365.66667</v>
      </c>
      <c r="H747" s="1">
        <f>IFERROR(__xludf.DUMMYFUNCTION("""COMPUTED_VALUE"""),155.7)</f>
        <v>155.7</v>
      </c>
      <c r="I747" s="5">
        <f t="shared" si="1"/>
        <v>-0.002196531792</v>
      </c>
      <c r="K747" s="5">
        <f t="shared" si="2"/>
        <v>-0.02069516956</v>
      </c>
      <c r="L747" s="5">
        <f t="shared" si="3"/>
        <v>-0.001794204719</v>
      </c>
      <c r="M747" s="5">
        <f t="shared" si="4"/>
        <v>-0.0009633911368</v>
      </c>
      <c r="Q747" s="5"/>
    </row>
    <row r="748">
      <c r="A748" s="4">
        <f>IFERROR(__xludf.DUMMYFUNCTION("""COMPUTED_VALUE"""),45366.66666666667)</f>
        <v>45366.66667</v>
      </c>
      <c r="B748" s="1">
        <f>IFERROR(__xludf.DUMMYFUNCTION("""COMPUTED_VALUE"""),172.62)</f>
        <v>172.62</v>
      </c>
      <c r="C748" s="4">
        <f>IFERROR(__xludf.DUMMYFUNCTION("""COMPUTED_VALUE"""),45366.66666666667)</f>
        <v>45366.66667</v>
      </c>
      <c r="D748" s="1">
        <f>IFERROR(__xludf.DUMMYFUNCTION("""COMPUTED_VALUE"""),416.42)</f>
        <v>416.42</v>
      </c>
      <c r="E748" s="4">
        <f>IFERROR(__xludf.DUMMYFUNCTION("""COMPUTED_VALUE"""),45366.66666666667)</f>
        <v>45366.66667</v>
      </c>
      <c r="F748" s="1">
        <f>IFERROR(__xludf.DUMMYFUNCTION("""COMPUTED_VALUE"""),111.27)</f>
        <v>111.27</v>
      </c>
      <c r="G748" s="4">
        <f>IFERROR(__xludf.DUMMYFUNCTION("""COMPUTED_VALUE"""),45366.66666666667)</f>
        <v>45366.66667</v>
      </c>
      <c r="H748" s="1">
        <f>IFERROR(__xludf.DUMMYFUNCTION("""COMPUTED_VALUE"""),155.55)</f>
        <v>155.55</v>
      </c>
      <c r="I748" s="5">
        <f t="shared" si="1"/>
        <v>0.006372378635</v>
      </c>
      <c r="K748" s="5">
        <f t="shared" si="2"/>
        <v>0.002161279477</v>
      </c>
      <c r="L748" s="5">
        <f t="shared" si="3"/>
        <v>0.009256762829</v>
      </c>
      <c r="M748" s="5">
        <f t="shared" si="4"/>
        <v>-0.000900032144</v>
      </c>
      <c r="Q748" s="5"/>
    </row>
    <row r="749">
      <c r="A749" s="4">
        <f>IFERROR(__xludf.DUMMYFUNCTION("""COMPUTED_VALUE"""),45369.66666666667)</f>
        <v>45369.66667</v>
      </c>
      <c r="B749" s="1">
        <f>IFERROR(__xludf.DUMMYFUNCTION("""COMPUTED_VALUE"""),173.72)</f>
        <v>173.72</v>
      </c>
      <c r="C749" s="4">
        <f>IFERROR(__xludf.DUMMYFUNCTION("""COMPUTED_VALUE"""),45369.66666666667)</f>
        <v>45369.66667</v>
      </c>
      <c r="D749" s="1">
        <f>IFERROR(__xludf.DUMMYFUNCTION("""COMPUTED_VALUE"""),417.32)</f>
        <v>417.32</v>
      </c>
      <c r="E749" s="4">
        <f>IFERROR(__xludf.DUMMYFUNCTION("""COMPUTED_VALUE"""),45369.66666666667)</f>
        <v>45369.66667</v>
      </c>
      <c r="F749" s="1">
        <f>IFERROR(__xludf.DUMMYFUNCTION("""COMPUTED_VALUE"""),112.3)</f>
        <v>112.3</v>
      </c>
      <c r="G749" s="4">
        <f>IFERROR(__xludf.DUMMYFUNCTION("""COMPUTED_VALUE"""),45369.66666666667)</f>
        <v>45369.66667</v>
      </c>
      <c r="H749" s="1">
        <f>IFERROR(__xludf.DUMMYFUNCTION("""COMPUTED_VALUE"""),155.41)</f>
        <v>155.41</v>
      </c>
      <c r="I749" s="5">
        <f t="shared" si="1"/>
        <v>0.01358507944</v>
      </c>
      <c r="K749" s="5">
        <f t="shared" si="2"/>
        <v>0.009800632608</v>
      </c>
      <c r="L749" s="5">
        <f t="shared" si="3"/>
        <v>0.007034728406</v>
      </c>
      <c r="M749" s="5">
        <f t="shared" si="4"/>
        <v>0.007785856766</v>
      </c>
      <c r="Q749" s="5"/>
    </row>
    <row r="750">
      <c r="A750" s="4">
        <f>IFERROR(__xludf.DUMMYFUNCTION("""COMPUTED_VALUE"""),45370.66666666667)</f>
        <v>45370.66667</v>
      </c>
      <c r="B750" s="1">
        <f>IFERROR(__xludf.DUMMYFUNCTION("""COMPUTED_VALUE"""),176.08)</f>
        <v>176.08</v>
      </c>
      <c r="C750" s="4">
        <f>IFERROR(__xludf.DUMMYFUNCTION("""COMPUTED_VALUE"""),45370.66666666667)</f>
        <v>45370.66667</v>
      </c>
      <c r="D750" s="1">
        <f>IFERROR(__xludf.DUMMYFUNCTION("""COMPUTED_VALUE"""),421.41)</f>
        <v>421.41</v>
      </c>
      <c r="E750" s="4">
        <f>IFERROR(__xludf.DUMMYFUNCTION("""COMPUTED_VALUE"""),45370.66666666667)</f>
        <v>45370.66667</v>
      </c>
      <c r="F750" s="1">
        <f>IFERROR(__xludf.DUMMYFUNCTION("""COMPUTED_VALUE"""),113.09)</f>
        <v>113.09</v>
      </c>
      <c r="G750" s="4">
        <f>IFERROR(__xludf.DUMMYFUNCTION("""COMPUTED_VALUE"""),45370.66666666667)</f>
        <v>45370.66667</v>
      </c>
      <c r="H750" s="1">
        <f>IFERROR(__xludf.DUMMYFUNCTION("""COMPUTED_VALUE"""),156.62)</f>
        <v>156.62</v>
      </c>
      <c r="I750" s="5">
        <f t="shared" si="1"/>
        <v>0.01470922308</v>
      </c>
      <c r="K750" s="5">
        <f t="shared" si="2"/>
        <v>0.009064806246</v>
      </c>
      <c r="L750" s="5">
        <f t="shared" si="3"/>
        <v>-0.0008842514811</v>
      </c>
      <c r="M750" s="5">
        <f t="shared" si="4"/>
        <v>-0.01321670285</v>
      </c>
      <c r="Q750" s="5"/>
    </row>
    <row r="751">
      <c r="A751" s="4">
        <f>IFERROR(__xludf.DUMMYFUNCTION("""COMPUTED_VALUE"""),45371.66666666667)</f>
        <v>45371.66667</v>
      </c>
      <c r="B751" s="1">
        <f>IFERROR(__xludf.DUMMYFUNCTION("""COMPUTED_VALUE"""),178.67)</f>
        <v>178.67</v>
      </c>
      <c r="C751" s="4">
        <f>IFERROR(__xludf.DUMMYFUNCTION("""COMPUTED_VALUE"""),45371.66666666667)</f>
        <v>45371.66667</v>
      </c>
      <c r="D751" s="1">
        <f>IFERROR(__xludf.DUMMYFUNCTION("""COMPUTED_VALUE"""),425.23)</f>
        <v>425.23</v>
      </c>
      <c r="E751" s="4">
        <f>IFERROR(__xludf.DUMMYFUNCTION("""COMPUTED_VALUE"""),45371.66666666667)</f>
        <v>45371.66667</v>
      </c>
      <c r="F751" s="1">
        <f>IFERROR(__xludf.DUMMYFUNCTION("""COMPUTED_VALUE"""),112.99)</f>
        <v>112.99</v>
      </c>
      <c r="G751" s="4">
        <f>IFERROR(__xludf.DUMMYFUNCTION("""COMPUTED_VALUE"""),45371.66666666667)</f>
        <v>45371.66667</v>
      </c>
      <c r="H751" s="1">
        <f>IFERROR(__xludf.DUMMYFUNCTION("""COMPUTED_VALUE"""),154.55)</f>
        <v>154.55</v>
      </c>
      <c r="I751" s="5">
        <f t="shared" si="1"/>
        <v>-0.04085744669</v>
      </c>
      <c r="K751" s="5">
        <f t="shared" si="2"/>
        <v>0.009735907626</v>
      </c>
      <c r="L751" s="5">
        <f t="shared" si="3"/>
        <v>0.004425170369</v>
      </c>
      <c r="M751" s="5">
        <f t="shared" si="4"/>
        <v>0.002005823358</v>
      </c>
      <c r="Q751" s="5"/>
    </row>
    <row r="752">
      <c r="A752" s="4">
        <f>IFERROR(__xludf.DUMMYFUNCTION("""COMPUTED_VALUE"""),45372.66666666667)</f>
        <v>45372.66667</v>
      </c>
      <c r="B752" s="1">
        <f>IFERROR(__xludf.DUMMYFUNCTION("""COMPUTED_VALUE"""),171.37)</f>
        <v>171.37</v>
      </c>
      <c r="C752" s="4">
        <f>IFERROR(__xludf.DUMMYFUNCTION("""COMPUTED_VALUE"""),45372.66666666667)</f>
        <v>45372.66667</v>
      </c>
      <c r="D752" s="1">
        <f>IFERROR(__xludf.DUMMYFUNCTION("""COMPUTED_VALUE"""),429.37)</f>
        <v>429.37</v>
      </c>
      <c r="E752" s="4">
        <f>IFERROR(__xludf.DUMMYFUNCTION("""COMPUTED_VALUE"""),45372.66666666667)</f>
        <v>45372.66667</v>
      </c>
      <c r="F752" s="1">
        <f>IFERROR(__xludf.DUMMYFUNCTION("""COMPUTED_VALUE"""),113.49)</f>
        <v>113.49</v>
      </c>
      <c r="G752" s="4">
        <f>IFERROR(__xludf.DUMMYFUNCTION("""COMPUTED_VALUE"""),45372.66666666667)</f>
        <v>45372.66667</v>
      </c>
      <c r="H752" s="1">
        <f>IFERROR(__xludf.DUMMYFUNCTION("""COMPUTED_VALUE"""),154.86)</f>
        <v>154.86</v>
      </c>
      <c r="I752" s="5">
        <f t="shared" si="1"/>
        <v>0.005310147634</v>
      </c>
      <c r="K752" s="5">
        <f t="shared" si="2"/>
        <v>-0.001467265994</v>
      </c>
      <c r="L752" s="5">
        <f t="shared" si="3"/>
        <v>0</v>
      </c>
      <c r="M752" s="5">
        <f t="shared" si="4"/>
        <v>-0.001291489087</v>
      </c>
      <c r="Q752" s="5"/>
    </row>
    <row r="753">
      <c r="A753" s="4">
        <f>IFERROR(__xludf.DUMMYFUNCTION("""COMPUTED_VALUE"""),45373.66666666667)</f>
        <v>45373.66667</v>
      </c>
      <c r="B753" s="1">
        <f>IFERROR(__xludf.DUMMYFUNCTION("""COMPUTED_VALUE"""),172.28)</f>
        <v>172.28</v>
      </c>
      <c r="C753" s="4">
        <f>IFERROR(__xludf.DUMMYFUNCTION("""COMPUTED_VALUE"""),45373.66666666667)</f>
        <v>45373.66667</v>
      </c>
      <c r="D753" s="1">
        <f>IFERROR(__xludf.DUMMYFUNCTION("""COMPUTED_VALUE"""),428.74)</f>
        <v>428.74</v>
      </c>
      <c r="E753" s="4">
        <f>IFERROR(__xludf.DUMMYFUNCTION("""COMPUTED_VALUE"""),45373.66666666667)</f>
        <v>45373.66667</v>
      </c>
      <c r="F753" s="1">
        <f>IFERROR(__xludf.DUMMYFUNCTION("""COMPUTED_VALUE"""),113.49)</f>
        <v>113.49</v>
      </c>
      <c r="G753" s="4">
        <f>IFERROR(__xludf.DUMMYFUNCTION("""COMPUTED_VALUE"""),45373.66666666667)</f>
        <v>45373.66667</v>
      </c>
      <c r="H753" s="1">
        <f>IFERROR(__xludf.DUMMYFUNCTION("""COMPUTED_VALUE"""),154.66)</f>
        <v>154.66</v>
      </c>
      <c r="I753" s="5">
        <f t="shared" si="1"/>
        <v>-0.008300441142</v>
      </c>
      <c r="K753" s="5">
        <f t="shared" si="2"/>
        <v>-0.01371460559</v>
      </c>
      <c r="L753" s="5">
        <f t="shared" si="3"/>
        <v>0.01022116486</v>
      </c>
      <c r="M753" s="5">
        <f t="shared" si="4"/>
        <v>0.01170309065</v>
      </c>
      <c r="Q753" s="5"/>
    </row>
    <row r="754">
      <c r="A754" s="4">
        <f>IFERROR(__xludf.DUMMYFUNCTION("""COMPUTED_VALUE"""),45376.66666666667)</f>
        <v>45376.66667</v>
      </c>
      <c r="B754" s="1">
        <f>IFERROR(__xludf.DUMMYFUNCTION("""COMPUTED_VALUE"""),170.85)</f>
        <v>170.85</v>
      </c>
      <c r="C754" s="4">
        <f>IFERROR(__xludf.DUMMYFUNCTION("""COMPUTED_VALUE"""),45376.66666666667)</f>
        <v>45376.66667</v>
      </c>
      <c r="D754" s="1">
        <f>IFERROR(__xludf.DUMMYFUNCTION("""COMPUTED_VALUE"""),422.86)</f>
        <v>422.86</v>
      </c>
      <c r="E754" s="4">
        <f>IFERROR(__xludf.DUMMYFUNCTION("""COMPUTED_VALUE"""),45376.66666666667)</f>
        <v>45376.66667</v>
      </c>
      <c r="F754" s="1">
        <f>IFERROR(__xludf.DUMMYFUNCTION("""COMPUTED_VALUE"""),114.65)</f>
        <v>114.65</v>
      </c>
      <c r="G754" s="4">
        <f>IFERROR(__xludf.DUMMYFUNCTION("""COMPUTED_VALUE"""),45376.66666666667)</f>
        <v>45376.66667</v>
      </c>
      <c r="H754" s="1">
        <f>IFERROR(__xludf.DUMMYFUNCTION("""COMPUTED_VALUE"""),156.47)</f>
        <v>156.47</v>
      </c>
      <c r="I754" s="5">
        <f t="shared" si="1"/>
        <v>-0.006672519754</v>
      </c>
      <c r="K754" s="5">
        <f t="shared" si="2"/>
        <v>-0.002861467152</v>
      </c>
      <c r="L754" s="5">
        <f t="shared" si="3"/>
        <v>-0.007501090275</v>
      </c>
      <c r="M754" s="5">
        <f t="shared" si="4"/>
        <v>-0.007669201764</v>
      </c>
      <c r="Q754" s="5"/>
    </row>
    <row r="755">
      <c r="A755" s="4">
        <f>IFERROR(__xludf.DUMMYFUNCTION("""COMPUTED_VALUE"""),45377.66666666667)</f>
        <v>45377.66667</v>
      </c>
      <c r="B755" s="1">
        <f>IFERROR(__xludf.DUMMYFUNCTION("""COMPUTED_VALUE"""),169.71)</f>
        <v>169.71</v>
      </c>
      <c r="C755" s="4">
        <f>IFERROR(__xludf.DUMMYFUNCTION("""COMPUTED_VALUE"""),45377.66666666667)</f>
        <v>45377.66667</v>
      </c>
      <c r="D755" s="1">
        <f>IFERROR(__xludf.DUMMYFUNCTION("""COMPUTED_VALUE"""),421.65)</f>
        <v>421.65</v>
      </c>
      <c r="E755" s="4">
        <f>IFERROR(__xludf.DUMMYFUNCTION("""COMPUTED_VALUE"""),45377.66666666667)</f>
        <v>45377.66667</v>
      </c>
      <c r="F755" s="1">
        <f>IFERROR(__xludf.DUMMYFUNCTION("""COMPUTED_VALUE"""),113.79)</f>
        <v>113.79</v>
      </c>
      <c r="G755" s="4">
        <f>IFERROR(__xludf.DUMMYFUNCTION("""COMPUTED_VALUE"""),45377.66666666667)</f>
        <v>45377.66667</v>
      </c>
      <c r="H755" s="1">
        <f>IFERROR(__xludf.DUMMYFUNCTION("""COMPUTED_VALUE"""),155.27)</f>
        <v>155.27</v>
      </c>
      <c r="I755" s="5">
        <f t="shared" si="1"/>
        <v>0.02121265689</v>
      </c>
      <c r="K755" s="5">
        <f t="shared" si="2"/>
        <v>-0.0005217597533</v>
      </c>
      <c r="L755" s="5">
        <f t="shared" si="3"/>
        <v>0.01036997979</v>
      </c>
      <c r="M755" s="5">
        <f t="shared" si="4"/>
        <v>0.006955625684</v>
      </c>
      <c r="Q755" s="5"/>
    </row>
    <row r="756">
      <c r="A756" s="4">
        <f>IFERROR(__xludf.DUMMYFUNCTION("""COMPUTED_VALUE"""),45378.66666666667)</f>
        <v>45378.66667</v>
      </c>
      <c r="B756" s="1">
        <f>IFERROR(__xludf.DUMMYFUNCTION("""COMPUTED_VALUE"""),173.31)</f>
        <v>173.31</v>
      </c>
      <c r="C756" s="4">
        <f>IFERROR(__xludf.DUMMYFUNCTION("""COMPUTED_VALUE"""),45378.66666666667)</f>
        <v>45378.66667</v>
      </c>
      <c r="D756" s="1">
        <f>IFERROR(__xludf.DUMMYFUNCTION("""COMPUTED_VALUE"""),421.43)</f>
        <v>421.43</v>
      </c>
      <c r="E756" s="4">
        <f>IFERROR(__xludf.DUMMYFUNCTION("""COMPUTED_VALUE"""),45378.66666666667)</f>
        <v>45378.66667</v>
      </c>
      <c r="F756" s="1">
        <f>IFERROR(__xludf.DUMMYFUNCTION("""COMPUTED_VALUE"""),114.97)</f>
        <v>114.97</v>
      </c>
      <c r="G756" s="4">
        <f>IFERROR(__xludf.DUMMYFUNCTION("""COMPUTED_VALUE"""),45378.66666666667)</f>
        <v>45378.66667</v>
      </c>
      <c r="H756" s="1">
        <f>IFERROR(__xludf.DUMMYFUNCTION("""COMPUTED_VALUE"""),156.35)</f>
        <v>156.35</v>
      </c>
      <c r="I756" s="5">
        <f t="shared" si="1"/>
        <v>-0.01055911373</v>
      </c>
      <c r="K756" s="5">
        <f t="shared" si="2"/>
        <v>-0.001684740052</v>
      </c>
      <c r="L756" s="5">
        <f t="shared" si="3"/>
        <v>0.01104635992</v>
      </c>
      <c r="M756" s="5">
        <f t="shared" si="4"/>
        <v>0.008890310201</v>
      </c>
      <c r="Q756" s="5"/>
    </row>
    <row r="757">
      <c r="A757" s="4">
        <f>IFERROR(__xludf.DUMMYFUNCTION("""COMPUTED_VALUE"""),45379.66666666667)</f>
        <v>45379.66667</v>
      </c>
      <c r="B757" s="1">
        <f>IFERROR(__xludf.DUMMYFUNCTION("""COMPUTED_VALUE"""),171.48)</f>
        <v>171.48</v>
      </c>
      <c r="C757" s="4">
        <f>IFERROR(__xludf.DUMMYFUNCTION("""COMPUTED_VALUE"""),45379.66666666667)</f>
        <v>45379.66667</v>
      </c>
      <c r="D757" s="1">
        <f>IFERROR(__xludf.DUMMYFUNCTION("""COMPUTED_VALUE"""),420.72)</f>
        <v>420.72</v>
      </c>
      <c r="E757" s="4">
        <f>IFERROR(__xludf.DUMMYFUNCTION("""COMPUTED_VALUE"""),45379.66666666667)</f>
        <v>45379.66667</v>
      </c>
      <c r="F757" s="1">
        <f>IFERROR(__xludf.DUMMYFUNCTION("""COMPUTED_VALUE"""),116.24)</f>
        <v>116.24</v>
      </c>
      <c r="G757" s="4">
        <f>IFERROR(__xludf.DUMMYFUNCTION("""COMPUTED_VALUE"""),45379.66666666667)</f>
        <v>45379.66667</v>
      </c>
      <c r="H757" s="1">
        <f>IFERROR(__xludf.DUMMYFUNCTION("""COMPUTED_VALUE"""),157.74)</f>
        <v>157.74</v>
      </c>
      <c r="I757" s="5">
        <f t="shared" si="1"/>
        <v>-0.008455796594</v>
      </c>
      <c r="K757" s="5">
        <f t="shared" si="2"/>
        <v>0.009150979274</v>
      </c>
      <c r="L757" s="5">
        <f t="shared" si="3"/>
        <v>0.006452167928</v>
      </c>
      <c r="M757" s="5">
        <f t="shared" si="4"/>
        <v>0.008494991759</v>
      </c>
      <c r="Q757" s="5"/>
    </row>
    <row r="758">
      <c r="A758" s="4">
        <f>IFERROR(__xludf.DUMMYFUNCTION("""COMPUTED_VALUE"""),45383.66666666667)</f>
        <v>45383.66667</v>
      </c>
      <c r="B758" s="1">
        <f>IFERROR(__xludf.DUMMYFUNCTION("""COMPUTED_VALUE"""),170.03)</f>
        <v>170.03</v>
      </c>
      <c r="C758" s="4">
        <f>IFERROR(__xludf.DUMMYFUNCTION("""COMPUTED_VALUE"""),45383.66666666667)</f>
        <v>45383.66667</v>
      </c>
      <c r="D758" s="1">
        <f>IFERROR(__xludf.DUMMYFUNCTION("""COMPUTED_VALUE"""),424.57)</f>
        <v>424.57</v>
      </c>
      <c r="E758" s="4">
        <f>IFERROR(__xludf.DUMMYFUNCTION("""COMPUTED_VALUE"""),45383.66666666667)</f>
        <v>45383.66667</v>
      </c>
      <c r="F758" s="1">
        <f>IFERROR(__xludf.DUMMYFUNCTION("""COMPUTED_VALUE"""),116.99)</f>
        <v>116.99</v>
      </c>
      <c r="G758" s="4">
        <f>IFERROR(__xludf.DUMMYFUNCTION("""COMPUTED_VALUE"""),45383.66666666667)</f>
        <v>45383.66667</v>
      </c>
      <c r="H758" s="1">
        <f>IFERROR(__xludf.DUMMYFUNCTION("""COMPUTED_VALUE"""),159.08)</f>
        <v>159.08</v>
      </c>
      <c r="I758" s="5">
        <f t="shared" si="1"/>
        <v>-0.006998764924</v>
      </c>
      <c r="K758" s="5">
        <f t="shared" si="2"/>
        <v>-0.007372164778</v>
      </c>
      <c r="L758" s="5">
        <f t="shared" si="3"/>
        <v>0.01957432259</v>
      </c>
      <c r="M758" s="5">
        <f t="shared" si="4"/>
        <v>0.004400301735</v>
      </c>
      <c r="Q758" s="5"/>
    </row>
    <row r="759">
      <c r="A759" s="4">
        <f>IFERROR(__xludf.DUMMYFUNCTION("""COMPUTED_VALUE"""),45384.66666666667)</f>
        <v>45384.66667</v>
      </c>
      <c r="B759" s="1">
        <f>IFERROR(__xludf.DUMMYFUNCTION("""COMPUTED_VALUE"""),168.84)</f>
        <v>168.84</v>
      </c>
      <c r="C759" s="4">
        <f>IFERROR(__xludf.DUMMYFUNCTION("""COMPUTED_VALUE"""),45384.66666666667)</f>
        <v>45384.66667</v>
      </c>
      <c r="D759" s="1">
        <f>IFERROR(__xludf.DUMMYFUNCTION("""COMPUTED_VALUE"""),421.44)</f>
        <v>421.44</v>
      </c>
      <c r="E759" s="4">
        <f>IFERROR(__xludf.DUMMYFUNCTION("""COMPUTED_VALUE"""),45384.66666666667)</f>
        <v>45384.66667</v>
      </c>
      <c r="F759" s="1">
        <f>IFERROR(__xludf.DUMMYFUNCTION("""COMPUTED_VALUE"""),119.28)</f>
        <v>119.28</v>
      </c>
      <c r="G759" s="4">
        <f>IFERROR(__xludf.DUMMYFUNCTION("""COMPUTED_VALUE"""),45384.66666666667)</f>
        <v>45384.66667</v>
      </c>
      <c r="H759" s="1">
        <f>IFERROR(__xludf.DUMMYFUNCTION("""COMPUTED_VALUE"""),159.78)</f>
        <v>159.78</v>
      </c>
      <c r="I759" s="5">
        <f t="shared" si="1"/>
        <v>0.004797441365</v>
      </c>
      <c r="K759" s="5">
        <f t="shared" si="2"/>
        <v>-0.002349088838</v>
      </c>
      <c r="L759" s="5">
        <f t="shared" si="3"/>
        <v>0.0001676727029</v>
      </c>
      <c r="M759" s="5">
        <f t="shared" si="4"/>
        <v>0.004130679685</v>
      </c>
      <c r="Q759" s="5"/>
    </row>
    <row r="760">
      <c r="A760" s="4">
        <f>IFERROR(__xludf.DUMMYFUNCTION("""COMPUTED_VALUE"""),45385.66666666667)</f>
        <v>45385.66667</v>
      </c>
      <c r="B760" s="1">
        <f>IFERROR(__xludf.DUMMYFUNCTION("""COMPUTED_VALUE"""),169.65)</f>
        <v>169.65</v>
      </c>
      <c r="C760" s="4">
        <f>IFERROR(__xludf.DUMMYFUNCTION("""COMPUTED_VALUE"""),45385.66666666667)</f>
        <v>45385.66667</v>
      </c>
      <c r="D760" s="1">
        <f>IFERROR(__xludf.DUMMYFUNCTION("""COMPUTED_VALUE"""),420.45)</f>
        <v>420.45</v>
      </c>
      <c r="E760" s="4">
        <f>IFERROR(__xludf.DUMMYFUNCTION("""COMPUTED_VALUE"""),45385.66666666667)</f>
        <v>45385.66667</v>
      </c>
      <c r="F760" s="1">
        <f>IFERROR(__xludf.DUMMYFUNCTION("""COMPUTED_VALUE"""),119.3)</f>
        <v>119.3</v>
      </c>
      <c r="G760" s="4">
        <f>IFERROR(__xludf.DUMMYFUNCTION("""COMPUTED_VALUE"""),45385.66666666667)</f>
        <v>45385.66667</v>
      </c>
      <c r="H760" s="1">
        <f>IFERROR(__xludf.DUMMYFUNCTION("""COMPUTED_VALUE"""),160.44)</f>
        <v>160.44</v>
      </c>
      <c r="I760" s="5">
        <f t="shared" si="1"/>
        <v>-0.004892425582</v>
      </c>
      <c r="K760" s="5">
        <f t="shared" si="2"/>
        <v>-0.006112498513</v>
      </c>
      <c r="L760" s="5">
        <f t="shared" si="3"/>
        <v>0.003520536463</v>
      </c>
      <c r="M760" s="5">
        <f t="shared" si="4"/>
        <v>0.001558214909</v>
      </c>
      <c r="Q760" s="5"/>
    </row>
    <row r="761">
      <c r="A761" s="4">
        <f>IFERROR(__xludf.DUMMYFUNCTION("""COMPUTED_VALUE"""),45386.66666666667)</f>
        <v>45386.66667</v>
      </c>
      <c r="B761" s="1">
        <f>IFERROR(__xludf.DUMMYFUNCTION("""COMPUTED_VALUE"""),168.82)</f>
        <v>168.82</v>
      </c>
      <c r="C761" s="4">
        <f>IFERROR(__xludf.DUMMYFUNCTION("""COMPUTED_VALUE"""),45386.66666666667)</f>
        <v>45386.66667</v>
      </c>
      <c r="D761" s="1">
        <f>IFERROR(__xludf.DUMMYFUNCTION("""COMPUTED_VALUE"""),417.88)</f>
        <v>417.88</v>
      </c>
      <c r="E761" s="4">
        <f>IFERROR(__xludf.DUMMYFUNCTION("""COMPUTED_VALUE"""),45386.66666666667)</f>
        <v>45386.66667</v>
      </c>
      <c r="F761" s="1">
        <f>IFERROR(__xludf.DUMMYFUNCTION("""COMPUTED_VALUE"""),119.72)</f>
        <v>119.72</v>
      </c>
      <c r="G761" s="4">
        <f>IFERROR(__xludf.DUMMYFUNCTION("""COMPUTED_VALUE"""),45386.66666666667)</f>
        <v>45386.66667</v>
      </c>
      <c r="H761" s="1">
        <f>IFERROR(__xludf.DUMMYFUNCTION("""COMPUTED_VALUE"""),160.69)</f>
        <v>160.69</v>
      </c>
      <c r="I761" s="5">
        <f t="shared" si="1"/>
        <v>0.004501836275</v>
      </c>
      <c r="K761" s="5">
        <f t="shared" si="2"/>
        <v>0.0182827606</v>
      </c>
      <c r="L761" s="5">
        <f t="shared" si="3"/>
        <v>0.01378215837</v>
      </c>
      <c r="M761" s="5">
        <f t="shared" si="4"/>
        <v>0.005663077976</v>
      </c>
      <c r="Q761" s="5"/>
    </row>
    <row r="762">
      <c r="A762" s="4">
        <f>IFERROR(__xludf.DUMMYFUNCTION("""COMPUTED_VALUE"""),45387.66666666667)</f>
        <v>45387.66667</v>
      </c>
      <c r="B762" s="1">
        <f>IFERROR(__xludf.DUMMYFUNCTION("""COMPUTED_VALUE"""),169.58)</f>
        <v>169.58</v>
      </c>
      <c r="C762" s="4">
        <f>IFERROR(__xludf.DUMMYFUNCTION("""COMPUTED_VALUE"""),45387.66666666667)</f>
        <v>45387.66667</v>
      </c>
      <c r="D762" s="1">
        <f>IFERROR(__xludf.DUMMYFUNCTION("""COMPUTED_VALUE"""),425.52)</f>
        <v>425.52</v>
      </c>
      <c r="E762" s="4">
        <f>IFERROR(__xludf.DUMMYFUNCTION("""COMPUTED_VALUE"""),45387.66666666667)</f>
        <v>45387.66667</v>
      </c>
      <c r="F762" s="1">
        <f>IFERROR(__xludf.DUMMYFUNCTION("""COMPUTED_VALUE"""),121.37)</f>
        <v>121.37</v>
      </c>
      <c r="G762" s="4">
        <f>IFERROR(__xludf.DUMMYFUNCTION("""COMPUTED_VALUE"""),45387.66666666667)</f>
        <v>45387.66667</v>
      </c>
      <c r="H762" s="1">
        <f>IFERROR(__xludf.DUMMYFUNCTION("""COMPUTED_VALUE"""),161.6)</f>
        <v>161.6</v>
      </c>
      <c r="I762" s="5">
        <f t="shared" si="1"/>
        <v>-0.006663521642</v>
      </c>
      <c r="K762" s="5">
        <f t="shared" si="2"/>
        <v>-0.002185561196</v>
      </c>
      <c r="L762" s="5">
        <f t="shared" si="3"/>
        <v>-0.006756200049</v>
      </c>
      <c r="M762" s="5">
        <f t="shared" si="4"/>
        <v>-0.002042079208</v>
      </c>
      <c r="Q762" s="5"/>
    </row>
    <row r="763">
      <c r="A763" s="4">
        <f>IFERROR(__xludf.DUMMYFUNCTION("""COMPUTED_VALUE"""),45390.66666666667)</f>
        <v>45390.66667</v>
      </c>
      <c r="B763" s="1">
        <f>IFERROR(__xludf.DUMMYFUNCTION("""COMPUTED_VALUE"""),168.45)</f>
        <v>168.45</v>
      </c>
      <c r="C763" s="4">
        <f>IFERROR(__xludf.DUMMYFUNCTION("""COMPUTED_VALUE"""),45390.66666666667)</f>
        <v>45390.66667</v>
      </c>
      <c r="D763" s="1">
        <f>IFERROR(__xludf.DUMMYFUNCTION("""COMPUTED_VALUE"""),424.59)</f>
        <v>424.59</v>
      </c>
      <c r="E763" s="4">
        <f>IFERROR(__xludf.DUMMYFUNCTION("""COMPUTED_VALUE"""),45390.66666666667)</f>
        <v>45390.66667</v>
      </c>
      <c r="F763" s="1">
        <f>IFERROR(__xludf.DUMMYFUNCTION("""COMPUTED_VALUE"""),120.55)</f>
        <v>120.55</v>
      </c>
      <c r="G763" s="4">
        <f>IFERROR(__xludf.DUMMYFUNCTION("""COMPUTED_VALUE"""),45390.66666666667)</f>
        <v>45390.66667</v>
      </c>
      <c r="H763" s="1">
        <f>IFERROR(__xludf.DUMMYFUNCTION("""COMPUTED_VALUE"""),161.27)</f>
        <v>161.27</v>
      </c>
      <c r="I763" s="5">
        <f t="shared" si="1"/>
        <v>0.007242505194</v>
      </c>
      <c r="K763" s="5">
        <f t="shared" si="2"/>
        <v>0.003980310417</v>
      </c>
      <c r="L763" s="5">
        <f t="shared" si="3"/>
        <v>0.005226047283</v>
      </c>
      <c r="M763" s="5">
        <f t="shared" si="4"/>
        <v>0.004526570348</v>
      </c>
      <c r="Q763" s="5"/>
    </row>
    <row r="764">
      <c r="A764" s="4">
        <f>IFERROR(__xludf.DUMMYFUNCTION("""COMPUTED_VALUE"""),45391.66666666667)</f>
        <v>45391.66667</v>
      </c>
      <c r="B764" s="1">
        <f>IFERROR(__xludf.DUMMYFUNCTION("""COMPUTED_VALUE"""),169.67)</f>
        <v>169.67</v>
      </c>
      <c r="C764" s="4">
        <f>IFERROR(__xludf.DUMMYFUNCTION("""COMPUTED_VALUE"""),45391.66666666667)</f>
        <v>45391.66667</v>
      </c>
      <c r="D764" s="1">
        <f>IFERROR(__xludf.DUMMYFUNCTION("""COMPUTED_VALUE"""),426.28)</f>
        <v>426.28</v>
      </c>
      <c r="E764" s="4">
        <f>IFERROR(__xludf.DUMMYFUNCTION("""COMPUTED_VALUE"""),45391.66666666667)</f>
        <v>45391.66667</v>
      </c>
      <c r="F764" s="1">
        <f>IFERROR(__xludf.DUMMYFUNCTION("""COMPUTED_VALUE"""),121.18)</f>
        <v>121.18</v>
      </c>
      <c r="G764" s="4">
        <f>IFERROR(__xludf.DUMMYFUNCTION("""COMPUTED_VALUE"""),45391.66666666667)</f>
        <v>45391.66667</v>
      </c>
      <c r="H764" s="1">
        <f>IFERROR(__xludf.DUMMYFUNCTION("""COMPUTED_VALUE"""),162.0)</f>
        <v>162</v>
      </c>
      <c r="I764" s="5">
        <f t="shared" si="1"/>
        <v>-0.01113927035</v>
      </c>
      <c r="K764" s="5">
        <f t="shared" si="2"/>
        <v>-0.007084545369</v>
      </c>
      <c r="L764" s="5">
        <f t="shared" si="3"/>
        <v>0.008417230566</v>
      </c>
      <c r="M764" s="5">
        <f t="shared" si="4"/>
        <v>0.004135802469</v>
      </c>
      <c r="Q764" s="5"/>
    </row>
    <row r="765">
      <c r="A765" s="4">
        <f>IFERROR(__xludf.DUMMYFUNCTION("""COMPUTED_VALUE"""),45392.66666666667)</f>
        <v>45392.66667</v>
      </c>
      <c r="B765" s="1">
        <f>IFERROR(__xludf.DUMMYFUNCTION("""COMPUTED_VALUE"""),167.78)</f>
        <v>167.78</v>
      </c>
      <c r="C765" s="4">
        <f>IFERROR(__xludf.DUMMYFUNCTION("""COMPUTED_VALUE"""),45392.66666666667)</f>
        <v>45392.66667</v>
      </c>
      <c r="D765" s="1">
        <f>IFERROR(__xludf.DUMMYFUNCTION("""COMPUTED_VALUE"""),423.26)</f>
        <v>423.26</v>
      </c>
      <c r="E765" s="4">
        <f>IFERROR(__xludf.DUMMYFUNCTION("""COMPUTED_VALUE"""),45392.66666666667)</f>
        <v>45392.66667</v>
      </c>
      <c r="F765" s="1">
        <f>IFERROR(__xludf.DUMMYFUNCTION("""COMPUTED_VALUE"""),122.2)</f>
        <v>122.2</v>
      </c>
      <c r="G765" s="4">
        <f>IFERROR(__xludf.DUMMYFUNCTION("""COMPUTED_VALUE"""),45392.66666666667)</f>
        <v>45392.66667</v>
      </c>
      <c r="H765" s="1">
        <f>IFERROR(__xludf.DUMMYFUNCTION("""COMPUTED_VALUE"""),162.67)</f>
        <v>162.67</v>
      </c>
      <c r="I765" s="5">
        <f t="shared" si="1"/>
        <v>0.04327095005</v>
      </c>
      <c r="K765" s="5">
        <f t="shared" si="2"/>
        <v>0.01103340736</v>
      </c>
      <c r="L765" s="5">
        <f t="shared" si="3"/>
        <v>-0.003355155483</v>
      </c>
      <c r="M765" s="5">
        <f t="shared" si="4"/>
        <v>-0.004794983709</v>
      </c>
      <c r="Q765" s="5"/>
    </row>
    <row r="766">
      <c r="A766" s="4">
        <f>IFERROR(__xludf.DUMMYFUNCTION("""COMPUTED_VALUE"""),45393.66666666667)</f>
        <v>45393.66667</v>
      </c>
      <c r="B766" s="1">
        <f>IFERROR(__xludf.DUMMYFUNCTION("""COMPUTED_VALUE"""),175.04)</f>
        <v>175.04</v>
      </c>
      <c r="C766" s="4">
        <f>IFERROR(__xludf.DUMMYFUNCTION("""COMPUTED_VALUE"""),45393.66666666667)</f>
        <v>45393.66667</v>
      </c>
      <c r="D766" s="1">
        <f>IFERROR(__xludf.DUMMYFUNCTION("""COMPUTED_VALUE"""),427.93)</f>
        <v>427.93</v>
      </c>
      <c r="E766" s="4">
        <f>IFERROR(__xludf.DUMMYFUNCTION("""COMPUTED_VALUE"""),45393.66666666667)</f>
        <v>45393.66667</v>
      </c>
      <c r="F766" s="1">
        <f>IFERROR(__xludf.DUMMYFUNCTION("""COMPUTED_VALUE"""),121.79)</f>
        <v>121.79</v>
      </c>
      <c r="G766" s="4">
        <f>IFERROR(__xludf.DUMMYFUNCTION("""COMPUTED_VALUE"""),45393.66666666667)</f>
        <v>45393.66667</v>
      </c>
      <c r="H766" s="1">
        <f>IFERROR(__xludf.DUMMYFUNCTION("""COMPUTED_VALUE"""),161.89)</f>
        <v>161.89</v>
      </c>
      <c r="I766" s="5">
        <f t="shared" si="1"/>
        <v>0.008626599634</v>
      </c>
      <c r="K766" s="5">
        <f t="shared" si="2"/>
        <v>-0.01409108966</v>
      </c>
      <c r="L766" s="5">
        <f t="shared" si="3"/>
        <v>-0.01165941374</v>
      </c>
      <c r="M766" s="5">
        <f t="shared" si="4"/>
        <v>-0.018098709</v>
      </c>
      <c r="Q766" s="5"/>
    </row>
    <row r="767">
      <c r="A767" s="4">
        <f>IFERROR(__xludf.DUMMYFUNCTION("""COMPUTED_VALUE"""),45394.66666666667)</f>
        <v>45394.66667</v>
      </c>
      <c r="B767" s="1">
        <f>IFERROR(__xludf.DUMMYFUNCTION("""COMPUTED_VALUE"""),176.55)</f>
        <v>176.55</v>
      </c>
      <c r="C767" s="4">
        <f>IFERROR(__xludf.DUMMYFUNCTION("""COMPUTED_VALUE"""),45394.66666666667)</f>
        <v>45394.66667</v>
      </c>
      <c r="D767" s="1">
        <f>IFERROR(__xludf.DUMMYFUNCTION("""COMPUTED_VALUE"""),421.9)</f>
        <v>421.9</v>
      </c>
      <c r="E767" s="4">
        <f>IFERROR(__xludf.DUMMYFUNCTION("""COMPUTED_VALUE"""),45394.66666666667)</f>
        <v>45394.66667</v>
      </c>
      <c r="F767" s="1">
        <f>IFERROR(__xludf.DUMMYFUNCTION("""COMPUTED_VALUE"""),120.37)</f>
        <v>120.37</v>
      </c>
      <c r="G767" s="4">
        <f>IFERROR(__xludf.DUMMYFUNCTION("""COMPUTED_VALUE"""),45394.66666666667)</f>
        <v>45394.66667</v>
      </c>
      <c r="H767" s="1">
        <f>IFERROR(__xludf.DUMMYFUNCTION("""COMPUTED_VALUE"""),158.96)</f>
        <v>158.96</v>
      </c>
      <c r="I767" s="5">
        <f t="shared" si="1"/>
        <v>-0.02186349476</v>
      </c>
      <c r="K767" s="5">
        <f t="shared" si="2"/>
        <v>-0.01957809908</v>
      </c>
      <c r="L767" s="5">
        <f t="shared" si="3"/>
        <v>-0.00573232533</v>
      </c>
      <c r="M767" s="5">
        <f t="shared" si="4"/>
        <v>-0.008618520382</v>
      </c>
      <c r="Q767" s="5"/>
    </row>
    <row r="768">
      <c r="A768" s="4">
        <f>IFERROR(__xludf.DUMMYFUNCTION("""COMPUTED_VALUE"""),45397.66666666667)</f>
        <v>45397.66667</v>
      </c>
      <c r="B768" s="1">
        <f>IFERROR(__xludf.DUMMYFUNCTION("""COMPUTED_VALUE"""),172.69)</f>
        <v>172.69</v>
      </c>
      <c r="C768" s="4">
        <f>IFERROR(__xludf.DUMMYFUNCTION("""COMPUTED_VALUE"""),45397.66666666667)</f>
        <v>45397.66667</v>
      </c>
      <c r="D768" s="1">
        <f>IFERROR(__xludf.DUMMYFUNCTION("""COMPUTED_VALUE"""),413.64)</f>
        <v>413.64</v>
      </c>
      <c r="E768" s="4">
        <f>IFERROR(__xludf.DUMMYFUNCTION("""COMPUTED_VALUE"""),45397.66666666667)</f>
        <v>45397.66667</v>
      </c>
      <c r="F768" s="1">
        <f>IFERROR(__xludf.DUMMYFUNCTION("""COMPUTED_VALUE"""),119.68)</f>
        <v>119.68</v>
      </c>
      <c r="G768" s="4">
        <f>IFERROR(__xludf.DUMMYFUNCTION("""COMPUTED_VALUE"""),45397.66666666667)</f>
        <v>45397.66667</v>
      </c>
      <c r="H768" s="1">
        <f>IFERROR(__xludf.DUMMYFUNCTION("""COMPUTED_VALUE"""),157.59)</f>
        <v>157.59</v>
      </c>
      <c r="I768" s="5">
        <f t="shared" si="1"/>
        <v>-0.019167294</v>
      </c>
      <c r="K768" s="5">
        <f t="shared" si="2"/>
        <v>0.002272507494</v>
      </c>
      <c r="L768" s="5">
        <f t="shared" si="3"/>
        <v>-0.008272058824</v>
      </c>
      <c r="M768" s="5">
        <f t="shared" si="4"/>
        <v>-0.008312710197</v>
      </c>
      <c r="Q768" s="5"/>
    </row>
    <row r="769">
      <c r="A769" s="4">
        <f>IFERROR(__xludf.DUMMYFUNCTION("""COMPUTED_VALUE"""),45398.66666666667)</f>
        <v>45398.66667</v>
      </c>
      <c r="B769" s="1">
        <f>IFERROR(__xludf.DUMMYFUNCTION("""COMPUTED_VALUE"""),169.38)</f>
        <v>169.38</v>
      </c>
      <c r="C769" s="4">
        <f>IFERROR(__xludf.DUMMYFUNCTION("""COMPUTED_VALUE"""),45398.66666666667)</f>
        <v>45398.66667</v>
      </c>
      <c r="D769" s="1">
        <f>IFERROR(__xludf.DUMMYFUNCTION("""COMPUTED_VALUE"""),414.58)</f>
        <v>414.58</v>
      </c>
      <c r="E769" s="4">
        <f>IFERROR(__xludf.DUMMYFUNCTION("""COMPUTED_VALUE"""),45398.66666666667)</f>
        <v>45398.66667</v>
      </c>
      <c r="F769" s="1">
        <f>IFERROR(__xludf.DUMMYFUNCTION("""COMPUTED_VALUE"""),118.69)</f>
        <v>118.69</v>
      </c>
      <c r="G769" s="4">
        <f>IFERROR(__xludf.DUMMYFUNCTION("""COMPUTED_VALUE"""),45398.66666666667)</f>
        <v>45398.66667</v>
      </c>
      <c r="H769" s="1">
        <f>IFERROR(__xludf.DUMMYFUNCTION("""COMPUTED_VALUE"""),156.28)</f>
        <v>156.28</v>
      </c>
      <c r="I769" s="5">
        <f t="shared" si="1"/>
        <v>-0.008147360964</v>
      </c>
      <c r="K769" s="5">
        <f t="shared" si="2"/>
        <v>-0.006609098365</v>
      </c>
      <c r="L769" s="5">
        <f t="shared" si="3"/>
        <v>-0.0005055185778</v>
      </c>
      <c r="M769" s="5">
        <f t="shared" si="4"/>
        <v>0.0007678525723</v>
      </c>
      <c r="Q769" s="5"/>
    </row>
    <row r="770">
      <c r="A770" s="4">
        <f>IFERROR(__xludf.DUMMYFUNCTION("""COMPUTED_VALUE"""),45399.66666666667)</f>
        <v>45399.66667</v>
      </c>
      <c r="B770" s="1">
        <f>IFERROR(__xludf.DUMMYFUNCTION("""COMPUTED_VALUE"""),168.0)</f>
        <v>168</v>
      </c>
      <c r="C770" s="4">
        <f>IFERROR(__xludf.DUMMYFUNCTION("""COMPUTED_VALUE"""),45399.66666666667)</f>
        <v>45399.66667</v>
      </c>
      <c r="D770" s="1">
        <f>IFERROR(__xludf.DUMMYFUNCTION("""COMPUTED_VALUE"""),411.84)</f>
        <v>411.84</v>
      </c>
      <c r="E770" s="4">
        <f>IFERROR(__xludf.DUMMYFUNCTION("""COMPUTED_VALUE"""),45399.66666666667)</f>
        <v>45399.66667</v>
      </c>
      <c r="F770" s="1">
        <f>IFERROR(__xludf.DUMMYFUNCTION("""COMPUTED_VALUE"""),118.63)</f>
        <v>118.63</v>
      </c>
      <c r="G770" s="4">
        <f>IFERROR(__xludf.DUMMYFUNCTION("""COMPUTED_VALUE"""),45399.66666666667)</f>
        <v>45399.66667</v>
      </c>
      <c r="H770" s="1">
        <f>IFERROR(__xludf.DUMMYFUNCTION("""COMPUTED_VALUE"""),156.4)</f>
        <v>156.4</v>
      </c>
      <c r="I770" s="5">
        <f t="shared" si="1"/>
        <v>-0.005714285714</v>
      </c>
      <c r="K770" s="5">
        <f t="shared" si="2"/>
        <v>-0.01838092463</v>
      </c>
      <c r="L770" s="5">
        <f t="shared" si="3"/>
        <v>-0.0009272528028</v>
      </c>
      <c r="M770" s="5">
        <f t="shared" si="4"/>
        <v>0.007480818414</v>
      </c>
      <c r="Q770" s="5"/>
    </row>
    <row r="771">
      <c r="A771" s="4">
        <f>IFERROR(__xludf.DUMMYFUNCTION("""COMPUTED_VALUE"""),45400.66666666667)</f>
        <v>45400.66667</v>
      </c>
      <c r="B771" s="1">
        <f>IFERROR(__xludf.DUMMYFUNCTION("""COMPUTED_VALUE"""),167.04)</f>
        <v>167.04</v>
      </c>
      <c r="C771" s="4">
        <f>IFERROR(__xludf.DUMMYFUNCTION("""COMPUTED_VALUE"""),45400.66666666667)</f>
        <v>45400.66667</v>
      </c>
      <c r="D771" s="1">
        <f>IFERROR(__xludf.DUMMYFUNCTION("""COMPUTED_VALUE"""),404.27)</f>
        <v>404.27</v>
      </c>
      <c r="E771" s="4">
        <f>IFERROR(__xludf.DUMMYFUNCTION("""COMPUTED_VALUE"""),45400.66666666667)</f>
        <v>45400.66667</v>
      </c>
      <c r="F771" s="1">
        <f>IFERROR(__xludf.DUMMYFUNCTION("""COMPUTED_VALUE"""),118.52)</f>
        <v>118.52</v>
      </c>
      <c r="G771" s="4">
        <f>IFERROR(__xludf.DUMMYFUNCTION("""COMPUTED_VALUE"""),45400.66666666667)</f>
        <v>45400.66667</v>
      </c>
      <c r="H771" s="1">
        <f>IFERROR(__xludf.DUMMYFUNCTION("""COMPUTED_VALUE"""),157.57)</f>
        <v>157.57</v>
      </c>
      <c r="I771" s="5">
        <f t="shared" si="1"/>
        <v>-0.01221264368</v>
      </c>
      <c r="K771" s="5">
        <f t="shared" si="2"/>
        <v>-0.01273901106</v>
      </c>
      <c r="L771" s="5">
        <f t="shared" si="3"/>
        <v>0.01147485656</v>
      </c>
      <c r="M771" s="5">
        <f t="shared" si="4"/>
        <v>0.01542171733</v>
      </c>
      <c r="Q771" s="5"/>
    </row>
    <row r="772">
      <c r="A772" s="4">
        <f>IFERROR(__xludf.DUMMYFUNCTION("""COMPUTED_VALUE"""),45401.66666666667)</f>
        <v>45401.66667</v>
      </c>
      <c r="B772" s="1">
        <f>IFERROR(__xludf.DUMMYFUNCTION("""COMPUTED_VALUE"""),165.0)</f>
        <v>165</v>
      </c>
      <c r="C772" s="4">
        <f>IFERROR(__xludf.DUMMYFUNCTION("""COMPUTED_VALUE"""),45401.66666666667)</f>
        <v>45401.66667</v>
      </c>
      <c r="D772" s="1">
        <f>IFERROR(__xludf.DUMMYFUNCTION("""COMPUTED_VALUE"""),399.12)</f>
        <v>399.12</v>
      </c>
      <c r="E772" s="4">
        <f>IFERROR(__xludf.DUMMYFUNCTION("""COMPUTED_VALUE"""),45401.66666666667)</f>
        <v>45401.66667</v>
      </c>
      <c r="F772" s="1">
        <f>IFERROR(__xludf.DUMMYFUNCTION("""COMPUTED_VALUE"""),119.88)</f>
        <v>119.88</v>
      </c>
      <c r="G772" s="4">
        <f>IFERROR(__xludf.DUMMYFUNCTION("""COMPUTED_VALUE"""),45401.66666666667)</f>
        <v>45401.66667</v>
      </c>
      <c r="H772" s="1">
        <f>IFERROR(__xludf.DUMMYFUNCTION("""COMPUTED_VALUE"""),160.0)</f>
        <v>160</v>
      </c>
      <c r="I772" s="5">
        <f t="shared" si="1"/>
        <v>0.005090909091</v>
      </c>
      <c r="K772" s="5">
        <f t="shared" si="2"/>
        <v>0.004610142313</v>
      </c>
      <c r="L772" s="5">
        <f t="shared" si="3"/>
        <v>0.005672339006</v>
      </c>
      <c r="M772" s="5">
        <f t="shared" si="4"/>
        <v>0.012</v>
      </c>
      <c r="Q772" s="5"/>
    </row>
    <row r="773">
      <c r="A773" s="4">
        <f>IFERROR(__xludf.DUMMYFUNCTION("""COMPUTED_VALUE"""),45404.66666666667)</f>
        <v>45404.66667</v>
      </c>
      <c r="B773" s="1">
        <f>IFERROR(__xludf.DUMMYFUNCTION("""COMPUTED_VALUE"""),165.84)</f>
        <v>165.84</v>
      </c>
      <c r="C773" s="4">
        <f>IFERROR(__xludf.DUMMYFUNCTION("""COMPUTED_VALUE"""),45404.66666666667)</f>
        <v>45404.66667</v>
      </c>
      <c r="D773" s="1">
        <f>IFERROR(__xludf.DUMMYFUNCTION("""COMPUTED_VALUE"""),400.96)</f>
        <v>400.96</v>
      </c>
      <c r="E773" s="4">
        <f>IFERROR(__xludf.DUMMYFUNCTION("""COMPUTED_VALUE"""),45404.66666666667)</f>
        <v>45404.66667</v>
      </c>
      <c r="F773" s="1">
        <f>IFERROR(__xludf.DUMMYFUNCTION("""COMPUTED_VALUE"""),120.56)</f>
        <v>120.56</v>
      </c>
      <c r="G773" s="4">
        <f>IFERROR(__xludf.DUMMYFUNCTION("""COMPUTED_VALUE"""),45404.66666666667)</f>
        <v>45404.66667</v>
      </c>
      <c r="H773" s="1">
        <f>IFERROR(__xludf.DUMMYFUNCTION("""COMPUTED_VALUE"""),161.92)</f>
        <v>161.92</v>
      </c>
      <c r="I773" s="5">
        <f t="shared" si="1"/>
        <v>0.006391702846</v>
      </c>
      <c r="K773" s="5">
        <f t="shared" si="2"/>
        <v>0.01648543496</v>
      </c>
      <c r="L773" s="5">
        <f t="shared" si="3"/>
        <v>0.003898473789</v>
      </c>
      <c r="M773" s="5">
        <f t="shared" si="4"/>
        <v>0.005743577075</v>
      </c>
      <c r="Q773" s="5"/>
    </row>
    <row r="774">
      <c r="A774" s="4">
        <f>IFERROR(__xludf.DUMMYFUNCTION("""COMPUTED_VALUE"""),45405.66666666667)</f>
        <v>45405.66667</v>
      </c>
      <c r="B774" s="1">
        <f>IFERROR(__xludf.DUMMYFUNCTION("""COMPUTED_VALUE"""),166.9)</f>
        <v>166.9</v>
      </c>
      <c r="C774" s="4">
        <f>IFERROR(__xludf.DUMMYFUNCTION("""COMPUTED_VALUE"""),45405.66666666667)</f>
        <v>45405.66667</v>
      </c>
      <c r="D774" s="1">
        <f>IFERROR(__xludf.DUMMYFUNCTION("""COMPUTED_VALUE"""),407.57)</f>
        <v>407.57</v>
      </c>
      <c r="E774" s="4">
        <f>IFERROR(__xludf.DUMMYFUNCTION("""COMPUTED_VALUE"""),45405.66666666667)</f>
        <v>45405.66667</v>
      </c>
      <c r="F774" s="1">
        <f>IFERROR(__xludf.DUMMYFUNCTION("""COMPUTED_VALUE"""),121.03)</f>
        <v>121.03</v>
      </c>
      <c r="G774" s="4">
        <f>IFERROR(__xludf.DUMMYFUNCTION("""COMPUTED_VALUE"""),45405.66666666667)</f>
        <v>45405.66667</v>
      </c>
      <c r="H774" s="1">
        <f>IFERROR(__xludf.DUMMYFUNCTION("""COMPUTED_VALUE"""),162.85)</f>
        <v>162.85</v>
      </c>
      <c r="I774" s="5">
        <f t="shared" si="1"/>
        <v>0.0127022169</v>
      </c>
      <c r="K774" s="5">
        <f t="shared" si="2"/>
        <v>0.003655813725</v>
      </c>
      <c r="L774" s="5">
        <f t="shared" si="3"/>
        <v>0.0001652482855</v>
      </c>
      <c r="M774" s="5">
        <f t="shared" si="4"/>
        <v>0.004421246546</v>
      </c>
      <c r="Q774" s="5"/>
    </row>
    <row r="775">
      <c r="A775" s="4">
        <f>IFERROR(__xludf.DUMMYFUNCTION("""COMPUTED_VALUE"""),45406.66666666667)</f>
        <v>45406.66667</v>
      </c>
      <c r="B775" s="1">
        <f>IFERROR(__xludf.DUMMYFUNCTION("""COMPUTED_VALUE"""),169.02)</f>
        <v>169.02</v>
      </c>
      <c r="C775" s="4">
        <f>IFERROR(__xludf.DUMMYFUNCTION("""COMPUTED_VALUE"""),45406.66666666667)</f>
        <v>45406.66667</v>
      </c>
      <c r="D775" s="1">
        <f>IFERROR(__xludf.DUMMYFUNCTION("""COMPUTED_VALUE"""),409.06)</f>
        <v>409.06</v>
      </c>
      <c r="E775" s="4">
        <f>IFERROR(__xludf.DUMMYFUNCTION("""COMPUTED_VALUE"""),45406.66666666667)</f>
        <v>45406.66667</v>
      </c>
      <c r="F775" s="1">
        <f>IFERROR(__xludf.DUMMYFUNCTION("""COMPUTED_VALUE"""),121.05)</f>
        <v>121.05</v>
      </c>
      <c r="G775" s="4">
        <f>IFERROR(__xludf.DUMMYFUNCTION("""COMPUTED_VALUE"""),45406.66666666667)</f>
        <v>45406.66667</v>
      </c>
      <c r="H775" s="1">
        <f>IFERROR(__xludf.DUMMYFUNCTION("""COMPUTED_VALUE"""),163.57)</f>
        <v>163.57</v>
      </c>
      <c r="I775" s="5">
        <f t="shared" si="1"/>
        <v>0.005147319844</v>
      </c>
      <c r="K775" s="5">
        <f t="shared" si="2"/>
        <v>-0.02449518408</v>
      </c>
      <c r="L775" s="5">
        <f t="shared" si="3"/>
        <v>0.002313093763</v>
      </c>
      <c r="M775" s="5">
        <f t="shared" si="4"/>
        <v>0.01045423978</v>
      </c>
      <c r="Q775" s="5"/>
    </row>
    <row r="776">
      <c r="A776" s="4">
        <f>IFERROR(__xludf.DUMMYFUNCTION("""COMPUTED_VALUE"""),45407.66666666667)</f>
        <v>45407.66667</v>
      </c>
      <c r="B776" s="1">
        <f>IFERROR(__xludf.DUMMYFUNCTION("""COMPUTED_VALUE"""),169.89)</f>
        <v>169.89</v>
      </c>
      <c r="C776" s="4">
        <f>IFERROR(__xludf.DUMMYFUNCTION("""COMPUTED_VALUE"""),45407.66666666667)</f>
        <v>45407.66667</v>
      </c>
      <c r="D776" s="1">
        <f>IFERROR(__xludf.DUMMYFUNCTION("""COMPUTED_VALUE"""),399.04)</f>
        <v>399.04</v>
      </c>
      <c r="E776" s="4">
        <f>IFERROR(__xludf.DUMMYFUNCTION("""COMPUTED_VALUE"""),45407.66666666667)</f>
        <v>45407.66667</v>
      </c>
      <c r="F776" s="1">
        <f>IFERROR(__xludf.DUMMYFUNCTION("""COMPUTED_VALUE"""),121.33)</f>
        <v>121.33</v>
      </c>
      <c r="G776" s="4">
        <f>IFERROR(__xludf.DUMMYFUNCTION("""COMPUTED_VALUE"""),45407.66666666667)</f>
        <v>45407.66667</v>
      </c>
      <c r="H776" s="1">
        <f>IFERROR(__xludf.DUMMYFUNCTION("""COMPUTED_VALUE"""),165.28)</f>
        <v>165.28</v>
      </c>
      <c r="I776" s="5">
        <f t="shared" si="1"/>
        <v>-0.003472835364</v>
      </c>
      <c r="K776" s="5">
        <f t="shared" si="2"/>
        <v>0.01824378508</v>
      </c>
      <c r="L776" s="5">
        <f t="shared" si="3"/>
        <v>-0.02777548834</v>
      </c>
      <c r="M776" s="5">
        <f t="shared" si="4"/>
        <v>0.00369070668</v>
      </c>
      <c r="Q776" s="5"/>
    </row>
    <row r="777">
      <c r="A777" s="4">
        <f>IFERROR(__xludf.DUMMYFUNCTION("""COMPUTED_VALUE"""),45408.66666666667)</f>
        <v>45408.66667</v>
      </c>
      <c r="B777" s="1">
        <f>IFERROR(__xludf.DUMMYFUNCTION("""COMPUTED_VALUE"""),169.3)</f>
        <v>169.3</v>
      </c>
      <c r="C777" s="4">
        <f>IFERROR(__xludf.DUMMYFUNCTION("""COMPUTED_VALUE"""),45408.66666666667)</f>
        <v>45408.66667</v>
      </c>
      <c r="D777" s="1">
        <f>IFERROR(__xludf.DUMMYFUNCTION("""COMPUTED_VALUE"""),406.32)</f>
        <v>406.32</v>
      </c>
      <c r="E777" s="4">
        <f>IFERROR(__xludf.DUMMYFUNCTION("""COMPUTED_VALUE"""),45408.66666666667)</f>
        <v>45408.66667</v>
      </c>
      <c r="F777" s="1">
        <f>IFERROR(__xludf.DUMMYFUNCTION("""COMPUTED_VALUE"""),117.96)</f>
        <v>117.96</v>
      </c>
      <c r="G777" s="4">
        <f>IFERROR(__xludf.DUMMYFUNCTION("""COMPUTED_VALUE"""),45408.66666666667)</f>
        <v>45408.66667</v>
      </c>
      <c r="H777" s="1">
        <f>IFERROR(__xludf.DUMMYFUNCTION("""COMPUTED_VALUE"""),165.89)</f>
        <v>165.89</v>
      </c>
      <c r="I777" s="5">
        <f t="shared" si="1"/>
        <v>0.02480803308</v>
      </c>
      <c r="K777" s="5">
        <f t="shared" si="2"/>
        <v>-0.01001673558</v>
      </c>
      <c r="L777" s="5">
        <f t="shared" si="3"/>
        <v>0.01424211597</v>
      </c>
      <c r="M777" s="5">
        <f t="shared" si="4"/>
        <v>0.002652359998</v>
      </c>
      <c r="Q777" s="5"/>
    </row>
    <row r="778">
      <c r="A778" s="4">
        <f>IFERROR(__xludf.DUMMYFUNCTION("""COMPUTED_VALUE"""),45411.66666666667)</f>
        <v>45411.66667</v>
      </c>
      <c r="B778" s="1">
        <f>IFERROR(__xludf.DUMMYFUNCTION("""COMPUTED_VALUE"""),173.5)</f>
        <v>173.5</v>
      </c>
      <c r="C778" s="4">
        <f>IFERROR(__xludf.DUMMYFUNCTION("""COMPUTED_VALUE"""),45411.66666666667)</f>
        <v>45411.66667</v>
      </c>
      <c r="D778" s="1">
        <f>IFERROR(__xludf.DUMMYFUNCTION("""COMPUTED_VALUE"""),402.25)</f>
        <v>402.25</v>
      </c>
      <c r="E778" s="4">
        <f>IFERROR(__xludf.DUMMYFUNCTION("""COMPUTED_VALUE"""),45411.66666666667)</f>
        <v>45411.66667</v>
      </c>
      <c r="F778" s="1">
        <f>IFERROR(__xludf.DUMMYFUNCTION("""COMPUTED_VALUE"""),119.64)</f>
        <v>119.64</v>
      </c>
      <c r="G778" s="4">
        <f>IFERROR(__xludf.DUMMYFUNCTION("""COMPUTED_VALUE"""),45411.66666666667)</f>
        <v>45411.66667</v>
      </c>
      <c r="H778" s="1">
        <f>IFERROR(__xludf.DUMMYFUNCTION("""COMPUTED_VALUE"""),166.33)</f>
        <v>166.33</v>
      </c>
      <c r="I778" s="5">
        <f t="shared" si="1"/>
        <v>-0.01827089337</v>
      </c>
      <c r="K778" s="5">
        <f t="shared" si="2"/>
        <v>-0.03211932878</v>
      </c>
      <c r="L778" s="5">
        <f t="shared" si="3"/>
        <v>-0.01145101973</v>
      </c>
      <c r="M778" s="5">
        <f t="shared" si="4"/>
        <v>-0.03042145133</v>
      </c>
      <c r="Q778" s="5"/>
    </row>
    <row r="779">
      <c r="A779" s="4">
        <f>IFERROR(__xludf.DUMMYFUNCTION("""COMPUTED_VALUE"""),45412.66666666667)</f>
        <v>45412.66667</v>
      </c>
      <c r="B779" s="1">
        <f>IFERROR(__xludf.DUMMYFUNCTION("""COMPUTED_VALUE"""),170.33)</f>
        <v>170.33</v>
      </c>
      <c r="C779" s="4">
        <f>IFERROR(__xludf.DUMMYFUNCTION("""COMPUTED_VALUE"""),45412.66666666667)</f>
        <v>45412.66667</v>
      </c>
      <c r="D779" s="1">
        <f>IFERROR(__xludf.DUMMYFUNCTION("""COMPUTED_VALUE"""),389.33)</f>
        <v>389.33</v>
      </c>
      <c r="E779" s="4">
        <f>IFERROR(__xludf.DUMMYFUNCTION("""COMPUTED_VALUE"""),45412.66666666667)</f>
        <v>45412.66667</v>
      </c>
      <c r="F779" s="1">
        <f>IFERROR(__xludf.DUMMYFUNCTION("""COMPUTED_VALUE"""),118.27)</f>
        <v>118.27</v>
      </c>
      <c r="G779" s="4">
        <f>IFERROR(__xludf.DUMMYFUNCTION("""COMPUTED_VALUE"""),45412.66666666667)</f>
        <v>45412.66667</v>
      </c>
      <c r="H779" s="1">
        <f>IFERROR(__xludf.DUMMYFUNCTION("""COMPUTED_VALUE"""),161.27)</f>
        <v>161.27</v>
      </c>
      <c r="I779" s="5">
        <f t="shared" si="1"/>
        <v>-0.00604708507</v>
      </c>
      <c r="K779" s="5">
        <f t="shared" si="2"/>
        <v>0.01440936994</v>
      </c>
      <c r="L779" s="5">
        <f t="shared" si="3"/>
        <v>-0.01893971421</v>
      </c>
      <c r="M779" s="5">
        <f t="shared" si="4"/>
        <v>-0.01016928133</v>
      </c>
      <c r="Q779" s="5"/>
    </row>
    <row r="780">
      <c r="A780" s="4">
        <f>IFERROR(__xludf.DUMMYFUNCTION("""COMPUTED_VALUE"""),45413.66666666667)</f>
        <v>45413.66667</v>
      </c>
      <c r="B780" s="1">
        <f>IFERROR(__xludf.DUMMYFUNCTION("""COMPUTED_VALUE"""),169.3)</f>
        <v>169.3</v>
      </c>
      <c r="C780" s="4">
        <f>IFERROR(__xludf.DUMMYFUNCTION("""COMPUTED_VALUE"""),45413.66666666667)</f>
        <v>45413.66667</v>
      </c>
      <c r="D780" s="1">
        <f>IFERROR(__xludf.DUMMYFUNCTION("""COMPUTED_VALUE"""),394.94)</f>
        <v>394.94</v>
      </c>
      <c r="E780" s="4">
        <f>IFERROR(__xludf.DUMMYFUNCTION("""COMPUTED_VALUE"""),45413.66666666667)</f>
        <v>45413.66667</v>
      </c>
      <c r="F780" s="1">
        <f>IFERROR(__xludf.DUMMYFUNCTION("""COMPUTED_VALUE"""),116.03)</f>
        <v>116.03</v>
      </c>
      <c r="G780" s="4">
        <f>IFERROR(__xludf.DUMMYFUNCTION("""COMPUTED_VALUE"""),45413.66666666667)</f>
        <v>45413.66667</v>
      </c>
      <c r="H780" s="1">
        <f>IFERROR(__xludf.DUMMYFUNCTION("""COMPUTED_VALUE"""),159.63)</f>
        <v>159.63</v>
      </c>
      <c r="I780" s="5">
        <f t="shared" si="1"/>
        <v>0.02203189604</v>
      </c>
      <c r="K780" s="5">
        <f t="shared" si="2"/>
        <v>0.007342887527</v>
      </c>
      <c r="L780" s="5">
        <f t="shared" si="3"/>
        <v>0.001809876756</v>
      </c>
      <c r="M780" s="5">
        <f t="shared" si="4"/>
        <v>0.006890935288</v>
      </c>
      <c r="Q780" s="5"/>
    </row>
    <row r="781">
      <c r="A781" s="4">
        <f>IFERROR(__xludf.DUMMYFUNCTION("""COMPUTED_VALUE"""),45414.66666666667)</f>
        <v>45414.66667</v>
      </c>
      <c r="B781" s="1">
        <f>IFERROR(__xludf.DUMMYFUNCTION("""COMPUTED_VALUE"""),173.03)</f>
        <v>173.03</v>
      </c>
      <c r="C781" s="4">
        <f>IFERROR(__xludf.DUMMYFUNCTION("""COMPUTED_VALUE"""),45414.66666666667)</f>
        <v>45414.66667</v>
      </c>
      <c r="D781" s="1">
        <f>IFERROR(__xludf.DUMMYFUNCTION("""COMPUTED_VALUE"""),397.84)</f>
        <v>397.84</v>
      </c>
      <c r="E781" s="4">
        <f>IFERROR(__xludf.DUMMYFUNCTION("""COMPUTED_VALUE"""),45414.66666666667)</f>
        <v>45414.66667</v>
      </c>
      <c r="F781" s="1">
        <f>IFERROR(__xludf.DUMMYFUNCTION("""COMPUTED_VALUE"""),116.24)</f>
        <v>116.24</v>
      </c>
      <c r="G781" s="4">
        <f>IFERROR(__xludf.DUMMYFUNCTION("""COMPUTED_VALUE"""),45414.66666666667)</f>
        <v>45414.66667</v>
      </c>
      <c r="H781" s="1">
        <f>IFERROR(__xludf.DUMMYFUNCTION("""COMPUTED_VALUE"""),160.73)</f>
        <v>160.73</v>
      </c>
      <c r="I781" s="5">
        <f t="shared" si="1"/>
        <v>0.05981621684</v>
      </c>
      <c r="K781" s="5">
        <f t="shared" si="2"/>
        <v>0.02216971647</v>
      </c>
      <c r="L781" s="5">
        <f t="shared" si="3"/>
        <v>-0.002064693737</v>
      </c>
      <c r="M781" s="5">
        <f t="shared" si="4"/>
        <v>-0.002986374666</v>
      </c>
      <c r="Q781" s="5"/>
    </row>
    <row r="782">
      <c r="A782" s="4">
        <f>IFERROR(__xludf.DUMMYFUNCTION("""COMPUTED_VALUE"""),45415.66666666667)</f>
        <v>45415.66667</v>
      </c>
      <c r="B782" s="1">
        <f>IFERROR(__xludf.DUMMYFUNCTION("""COMPUTED_VALUE"""),183.38)</f>
        <v>183.38</v>
      </c>
      <c r="C782" s="4">
        <f>IFERROR(__xludf.DUMMYFUNCTION("""COMPUTED_VALUE"""),45415.66666666667)</f>
        <v>45415.66667</v>
      </c>
      <c r="D782" s="1">
        <f>IFERROR(__xludf.DUMMYFUNCTION("""COMPUTED_VALUE"""),406.66)</f>
        <v>406.66</v>
      </c>
      <c r="E782" s="4">
        <f>IFERROR(__xludf.DUMMYFUNCTION("""COMPUTED_VALUE"""),45415.66666666667)</f>
        <v>45415.66667</v>
      </c>
      <c r="F782" s="1">
        <f>IFERROR(__xludf.DUMMYFUNCTION("""COMPUTED_VALUE"""),116.0)</f>
        <v>116</v>
      </c>
      <c r="G782" s="4">
        <f>IFERROR(__xludf.DUMMYFUNCTION("""COMPUTED_VALUE"""),45415.66666666667)</f>
        <v>45415.66667</v>
      </c>
      <c r="H782" s="1">
        <f>IFERROR(__xludf.DUMMYFUNCTION("""COMPUTED_VALUE"""),160.25)</f>
        <v>160.25</v>
      </c>
      <c r="I782" s="5">
        <f t="shared" si="1"/>
        <v>-0.009106772821</v>
      </c>
      <c r="K782" s="5">
        <f t="shared" si="2"/>
        <v>0.01691831014</v>
      </c>
      <c r="L782" s="5">
        <f t="shared" si="3"/>
        <v>0.006465517241</v>
      </c>
      <c r="M782" s="5">
        <f t="shared" si="4"/>
        <v>0.0127925117</v>
      </c>
      <c r="Q782" s="5"/>
    </row>
    <row r="783">
      <c r="A783" s="4">
        <f>IFERROR(__xludf.DUMMYFUNCTION("""COMPUTED_VALUE"""),45418.66666666667)</f>
        <v>45418.66667</v>
      </c>
      <c r="B783" s="1">
        <f>IFERROR(__xludf.DUMMYFUNCTION("""COMPUTED_VALUE"""),181.71)</f>
        <v>181.71</v>
      </c>
      <c r="C783" s="4">
        <f>IFERROR(__xludf.DUMMYFUNCTION("""COMPUTED_VALUE"""),45418.66666666667)</f>
        <v>45418.66667</v>
      </c>
      <c r="D783" s="1">
        <f>IFERROR(__xludf.DUMMYFUNCTION("""COMPUTED_VALUE"""),413.54)</f>
        <v>413.54</v>
      </c>
      <c r="E783" s="4">
        <f>IFERROR(__xludf.DUMMYFUNCTION("""COMPUTED_VALUE"""),45418.66666666667)</f>
        <v>45418.66667</v>
      </c>
      <c r="F783" s="1">
        <f>IFERROR(__xludf.DUMMYFUNCTION("""COMPUTED_VALUE"""),116.75)</f>
        <v>116.75</v>
      </c>
      <c r="G783" s="4">
        <f>IFERROR(__xludf.DUMMYFUNCTION("""COMPUTED_VALUE"""),45418.66666666667)</f>
        <v>45418.66667</v>
      </c>
      <c r="H783" s="1">
        <f>IFERROR(__xludf.DUMMYFUNCTION("""COMPUTED_VALUE"""),162.3)</f>
        <v>162.3</v>
      </c>
      <c r="I783" s="5">
        <f t="shared" si="1"/>
        <v>0.003797259369</v>
      </c>
      <c r="K783" s="5">
        <f t="shared" si="2"/>
        <v>-0.01015621222</v>
      </c>
      <c r="L783" s="5">
        <f t="shared" si="3"/>
        <v>-0.004967880086</v>
      </c>
      <c r="M783" s="5">
        <f t="shared" si="4"/>
        <v>0.002279728897</v>
      </c>
      <c r="Q783" s="5"/>
    </row>
    <row r="784">
      <c r="A784" s="4">
        <f>IFERROR(__xludf.DUMMYFUNCTION("""COMPUTED_VALUE"""),45419.66666666667)</f>
        <v>45419.66667</v>
      </c>
      <c r="B784" s="1">
        <f>IFERROR(__xludf.DUMMYFUNCTION("""COMPUTED_VALUE"""),182.4)</f>
        <v>182.4</v>
      </c>
      <c r="C784" s="4">
        <f>IFERROR(__xludf.DUMMYFUNCTION("""COMPUTED_VALUE"""),45419.66666666667)</f>
        <v>45419.66667</v>
      </c>
      <c r="D784" s="1">
        <f>IFERROR(__xludf.DUMMYFUNCTION("""COMPUTED_VALUE"""),409.34)</f>
        <v>409.34</v>
      </c>
      <c r="E784" s="4">
        <f>IFERROR(__xludf.DUMMYFUNCTION("""COMPUTED_VALUE"""),45419.66666666667)</f>
        <v>45419.66667</v>
      </c>
      <c r="F784" s="1">
        <f>IFERROR(__xludf.DUMMYFUNCTION("""COMPUTED_VALUE"""),116.17)</f>
        <v>116.17</v>
      </c>
      <c r="G784" s="4">
        <f>IFERROR(__xludf.DUMMYFUNCTION("""COMPUTED_VALUE"""),45419.66666666667)</f>
        <v>45419.66667</v>
      </c>
      <c r="H784" s="1">
        <f>IFERROR(__xludf.DUMMYFUNCTION("""COMPUTED_VALUE"""),162.67)</f>
        <v>162.67</v>
      </c>
      <c r="I784" s="5">
        <f t="shared" si="1"/>
        <v>0.001864035088</v>
      </c>
      <c r="K784" s="5">
        <f t="shared" si="2"/>
        <v>0.002931548346</v>
      </c>
      <c r="L784" s="5">
        <f t="shared" si="3"/>
        <v>-0.0001721614875</v>
      </c>
      <c r="M784" s="5">
        <f t="shared" si="4"/>
        <v>-0.0007991639516</v>
      </c>
      <c r="Q784" s="5"/>
    </row>
    <row r="785">
      <c r="A785" s="4">
        <f>IFERROR(__xludf.DUMMYFUNCTION("""COMPUTED_VALUE"""),45420.66666666667)</f>
        <v>45420.66667</v>
      </c>
      <c r="B785" s="1">
        <f>IFERROR(__xludf.DUMMYFUNCTION("""COMPUTED_VALUE"""),182.74)</f>
        <v>182.74</v>
      </c>
      <c r="C785" s="4">
        <f>IFERROR(__xludf.DUMMYFUNCTION("""COMPUTED_VALUE"""),45420.66666666667)</f>
        <v>45420.66667</v>
      </c>
      <c r="D785" s="1">
        <f>IFERROR(__xludf.DUMMYFUNCTION("""COMPUTED_VALUE"""),410.54)</f>
        <v>410.54</v>
      </c>
      <c r="E785" s="4">
        <f>IFERROR(__xludf.DUMMYFUNCTION("""COMPUTED_VALUE"""),45420.66666666667)</f>
        <v>45420.66667</v>
      </c>
      <c r="F785" s="1">
        <f>IFERROR(__xludf.DUMMYFUNCTION("""COMPUTED_VALUE"""),116.15)</f>
        <v>116.15</v>
      </c>
      <c r="G785" s="4">
        <f>IFERROR(__xludf.DUMMYFUNCTION("""COMPUTED_VALUE"""),45420.66666666667)</f>
        <v>45420.66667</v>
      </c>
      <c r="H785" s="1">
        <f>IFERROR(__xludf.DUMMYFUNCTION("""COMPUTED_VALUE"""),162.54)</f>
        <v>162.54</v>
      </c>
      <c r="I785" s="5">
        <f t="shared" si="1"/>
        <v>0.01001422786</v>
      </c>
      <c r="K785" s="5">
        <f t="shared" si="2"/>
        <v>0.004335752911</v>
      </c>
      <c r="L785" s="5">
        <f t="shared" si="3"/>
        <v>0.01971588463</v>
      </c>
      <c r="M785" s="5">
        <f t="shared" si="4"/>
        <v>0.01790328535</v>
      </c>
      <c r="Q785" s="5"/>
    </row>
    <row r="786">
      <c r="A786" s="4">
        <f>IFERROR(__xludf.DUMMYFUNCTION("""COMPUTED_VALUE"""),45421.66666666667)</f>
        <v>45421.66667</v>
      </c>
      <c r="B786" s="1">
        <f>IFERROR(__xludf.DUMMYFUNCTION("""COMPUTED_VALUE"""),184.57)</f>
        <v>184.57</v>
      </c>
      <c r="C786" s="4">
        <f>IFERROR(__xludf.DUMMYFUNCTION("""COMPUTED_VALUE"""),45421.66666666667)</f>
        <v>45421.66667</v>
      </c>
      <c r="D786" s="1">
        <f>IFERROR(__xludf.DUMMYFUNCTION("""COMPUTED_VALUE"""),412.32)</f>
        <v>412.32</v>
      </c>
      <c r="E786" s="4">
        <f>IFERROR(__xludf.DUMMYFUNCTION("""COMPUTED_VALUE"""),45421.66666666667)</f>
        <v>45421.66667</v>
      </c>
      <c r="F786" s="1">
        <f>IFERROR(__xludf.DUMMYFUNCTION("""COMPUTED_VALUE"""),118.44)</f>
        <v>118.44</v>
      </c>
      <c r="G786" s="4">
        <f>IFERROR(__xludf.DUMMYFUNCTION("""COMPUTED_VALUE"""),45421.66666666667)</f>
        <v>45421.66667</v>
      </c>
      <c r="H786" s="1">
        <f>IFERROR(__xludf.DUMMYFUNCTION("""COMPUTED_VALUE"""),165.45)</f>
        <v>165.45</v>
      </c>
      <c r="I786" s="5">
        <f t="shared" si="1"/>
        <v>-0.008235357859</v>
      </c>
      <c r="K786" s="5">
        <f t="shared" si="2"/>
        <v>0.005869227784</v>
      </c>
      <c r="L786" s="5">
        <f t="shared" si="3"/>
        <v>-0.004052684904</v>
      </c>
      <c r="M786" s="5">
        <f t="shared" si="4"/>
        <v>0.002236325174</v>
      </c>
      <c r="Q786" s="5"/>
    </row>
    <row r="787">
      <c r="A787" s="4">
        <f>IFERROR(__xludf.DUMMYFUNCTION("""COMPUTED_VALUE"""),45422.66666666667)</f>
        <v>45422.66667</v>
      </c>
      <c r="B787" s="1">
        <f>IFERROR(__xludf.DUMMYFUNCTION("""COMPUTED_VALUE"""),183.05)</f>
        <v>183.05</v>
      </c>
      <c r="C787" s="4">
        <f>IFERROR(__xludf.DUMMYFUNCTION("""COMPUTED_VALUE"""),45422.66666666667)</f>
        <v>45422.66667</v>
      </c>
      <c r="D787" s="1">
        <f>IFERROR(__xludf.DUMMYFUNCTION("""COMPUTED_VALUE"""),414.74)</f>
        <v>414.74</v>
      </c>
      <c r="E787" s="4">
        <f>IFERROR(__xludf.DUMMYFUNCTION("""COMPUTED_VALUE"""),45422.66666666667)</f>
        <v>45422.66667</v>
      </c>
      <c r="F787" s="1">
        <f>IFERROR(__xludf.DUMMYFUNCTION("""COMPUTED_VALUE"""),117.96)</f>
        <v>117.96</v>
      </c>
      <c r="G787" s="4">
        <f>IFERROR(__xludf.DUMMYFUNCTION("""COMPUTED_VALUE"""),45422.66666666667)</f>
        <v>45422.66667</v>
      </c>
      <c r="H787" s="1">
        <f>IFERROR(__xludf.DUMMYFUNCTION("""COMPUTED_VALUE"""),165.82)</f>
        <v>165.82</v>
      </c>
      <c r="I787" s="5">
        <f t="shared" si="1"/>
        <v>0.01764545206</v>
      </c>
      <c r="K787" s="5">
        <f t="shared" si="2"/>
        <v>-0.002459372137</v>
      </c>
      <c r="L787" s="5">
        <f t="shared" si="3"/>
        <v>-0.0004238724992</v>
      </c>
      <c r="M787" s="5">
        <f t="shared" si="4"/>
        <v>-0.007779519961</v>
      </c>
      <c r="Q787" s="5"/>
    </row>
    <row r="788">
      <c r="A788" s="4">
        <f>IFERROR(__xludf.DUMMYFUNCTION("""COMPUTED_VALUE"""),45425.66666666667)</f>
        <v>45425.66667</v>
      </c>
      <c r="B788" s="1">
        <f>IFERROR(__xludf.DUMMYFUNCTION("""COMPUTED_VALUE"""),186.28)</f>
        <v>186.28</v>
      </c>
      <c r="C788" s="4">
        <f>IFERROR(__xludf.DUMMYFUNCTION("""COMPUTED_VALUE"""),45425.66666666667)</f>
        <v>45425.66667</v>
      </c>
      <c r="D788" s="1">
        <f>IFERROR(__xludf.DUMMYFUNCTION("""COMPUTED_VALUE"""),413.72)</f>
        <v>413.72</v>
      </c>
      <c r="E788" s="4">
        <f>IFERROR(__xludf.DUMMYFUNCTION("""COMPUTED_VALUE"""),45425.66666666667)</f>
        <v>45425.66667</v>
      </c>
      <c r="F788" s="1">
        <f>IFERROR(__xludf.DUMMYFUNCTION("""COMPUTED_VALUE"""),117.91)</f>
        <v>117.91</v>
      </c>
      <c r="G788" s="4">
        <f>IFERROR(__xludf.DUMMYFUNCTION("""COMPUTED_VALUE"""),45425.66666666667)</f>
        <v>45425.66667</v>
      </c>
      <c r="H788" s="1">
        <f>IFERROR(__xludf.DUMMYFUNCTION("""COMPUTED_VALUE"""),164.53)</f>
        <v>164.53</v>
      </c>
      <c r="I788" s="5">
        <f t="shared" si="1"/>
        <v>0.006173502255</v>
      </c>
      <c r="K788" s="5">
        <f t="shared" si="2"/>
        <v>0.00686454607</v>
      </c>
      <c r="L788" s="5">
        <f t="shared" si="3"/>
        <v>-0.002035450768</v>
      </c>
      <c r="M788" s="5">
        <f t="shared" si="4"/>
        <v>-0.005591685407</v>
      </c>
      <c r="Q788" s="5"/>
    </row>
    <row r="789">
      <c r="A789" s="4">
        <f>IFERROR(__xludf.DUMMYFUNCTION("""COMPUTED_VALUE"""),45426.66666666667)</f>
        <v>45426.66667</v>
      </c>
      <c r="B789" s="1">
        <f>IFERROR(__xludf.DUMMYFUNCTION("""COMPUTED_VALUE"""),187.43)</f>
        <v>187.43</v>
      </c>
      <c r="C789" s="4">
        <f>IFERROR(__xludf.DUMMYFUNCTION("""COMPUTED_VALUE"""),45426.66666666667)</f>
        <v>45426.66667</v>
      </c>
      <c r="D789" s="1">
        <f>IFERROR(__xludf.DUMMYFUNCTION("""COMPUTED_VALUE"""),416.56)</f>
        <v>416.56</v>
      </c>
      <c r="E789" s="4">
        <f>IFERROR(__xludf.DUMMYFUNCTION("""COMPUTED_VALUE"""),45426.66666666667)</f>
        <v>45426.66667</v>
      </c>
      <c r="F789" s="1">
        <f>IFERROR(__xludf.DUMMYFUNCTION("""COMPUTED_VALUE"""),117.67)</f>
        <v>117.67</v>
      </c>
      <c r="G789" s="4">
        <f>IFERROR(__xludf.DUMMYFUNCTION("""COMPUTED_VALUE"""),45426.66666666667)</f>
        <v>45426.66667</v>
      </c>
      <c r="H789" s="1">
        <f>IFERROR(__xludf.DUMMYFUNCTION("""COMPUTED_VALUE"""),163.61)</f>
        <v>163.61</v>
      </c>
      <c r="I789" s="5">
        <f t="shared" si="1"/>
        <v>0.01221789468</v>
      </c>
      <c r="K789" s="5">
        <f t="shared" si="2"/>
        <v>0.01565200691</v>
      </c>
      <c r="L789" s="5">
        <f t="shared" si="3"/>
        <v>0.007733491969</v>
      </c>
      <c r="M789" s="5">
        <f t="shared" si="4"/>
        <v>-0.003422773669</v>
      </c>
      <c r="Q789" s="5"/>
    </row>
    <row r="790">
      <c r="A790" s="4">
        <f>IFERROR(__xludf.DUMMYFUNCTION("""COMPUTED_VALUE"""),45427.66666666667)</f>
        <v>45427.66667</v>
      </c>
      <c r="B790" s="1">
        <f>IFERROR(__xludf.DUMMYFUNCTION("""COMPUTED_VALUE"""),189.72)</f>
        <v>189.72</v>
      </c>
      <c r="C790" s="4">
        <f>IFERROR(__xludf.DUMMYFUNCTION("""COMPUTED_VALUE"""),45427.66666666667)</f>
        <v>45427.66667</v>
      </c>
      <c r="D790" s="1">
        <f>IFERROR(__xludf.DUMMYFUNCTION("""COMPUTED_VALUE"""),423.08)</f>
        <v>423.08</v>
      </c>
      <c r="E790" s="4">
        <f>IFERROR(__xludf.DUMMYFUNCTION("""COMPUTED_VALUE"""),45427.66666666667)</f>
        <v>45427.66667</v>
      </c>
      <c r="F790" s="1">
        <f>IFERROR(__xludf.DUMMYFUNCTION("""COMPUTED_VALUE"""),118.58)</f>
        <v>118.58</v>
      </c>
      <c r="G790" s="4">
        <f>IFERROR(__xludf.DUMMYFUNCTION("""COMPUTED_VALUE"""),45427.66666666667)</f>
        <v>45427.66667</v>
      </c>
      <c r="H790" s="1">
        <f>IFERROR(__xludf.DUMMYFUNCTION("""COMPUTED_VALUE"""),163.05)</f>
        <v>163.05</v>
      </c>
      <c r="I790" s="5">
        <f t="shared" si="1"/>
        <v>0.0006325110689</v>
      </c>
      <c r="K790" s="5">
        <f t="shared" si="2"/>
        <v>-0.004939964073</v>
      </c>
      <c r="L790" s="5">
        <f t="shared" si="3"/>
        <v>-0.005987518975</v>
      </c>
      <c r="M790" s="5">
        <f t="shared" si="4"/>
        <v>-0.0120208525</v>
      </c>
      <c r="Q790" s="5"/>
    </row>
    <row r="791">
      <c r="A791" s="4">
        <f>IFERROR(__xludf.DUMMYFUNCTION("""COMPUTED_VALUE"""),45428.66666666667)</f>
        <v>45428.66667</v>
      </c>
      <c r="B791" s="1">
        <f>IFERROR(__xludf.DUMMYFUNCTION("""COMPUTED_VALUE"""),189.84)</f>
        <v>189.84</v>
      </c>
      <c r="C791" s="4">
        <f>IFERROR(__xludf.DUMMYFUNCTION("""COMPUTED_VALUE"""),45428.66666666667)</f>
        <v>45428.66667</v>
      </c>
      <c r="D791" s="1">
        <f>IFERROR(__xludf.DUMMYFUNCTION("""COMPUTED_VALUE"""),420.99)</f>
        <v>420.99</v>
      </c>
      <c r="E791" s="4">
        <f>IFERROR(__xludf.DUMMYFUNCTION("""COMPUTED_VALUE"""),45428.66666666667)</f>
        <v>45428.66667</v>
      </c>
      <c r="F791" s="1">
        <f>IFERROR(__xludf.DUMMYFUNCTION("""COMPUTED_VALUE"""),117.87)</f>
        <v>117.87</v>
      </c>
      <c r="G791" s="4">
        <f>IFERROR(__xludf.DUMMYFUNCTION("""COMPUTED_VALUE"""),45428.66666666667)</f>
        <v>45428.66667</v>
      </c>
      <c r="H791" s="1">
        <f>IFERROR(__xludf.DUMMYFUNCTION("""COMPUTED_VALUE"""),161.09)</f>
        <v>161.09</v>
      </c>
      <c r="I791" s="5">
        <f t="shared" si="1"/>
        <v>0.0001580278129</v>
      </c>
      <c r="K791" s="5">
        <f t="shared" si="2"/>
        <v>-0.0018527756</v>
      </c>
      <c r="L791" s="5">
        <f t="shared" si="3"/>
        <v>0.01501654365</v>
      </c>
      <c r="M791" s="5">
        <f t="shared" si="4"/>
        <v>0.009808181762</v>
      </c>
      <c r="Q791" s="5"/>
    </row>
    <row r="792">
      <c r="A792" s="4">
        <f>IFERROR(__xludf.DUMMYFUNCTION("""COMPUTED_VALUE"""),45429.66666666667)</f>
        <v>45429.66667</v>
      </c>
      <c r="B792" s="1">
        <f>IFERROR(__xludf.DUMMYFUNCTION("""COMPUTED_VALUE"""),189.87)</f>
        <v>189.87</v>
      </c>
      <c r="C792" s="4">
        <f>IFERROR(__xludf.DUMMYFUNCTION("""COMPUTED_VALUE"""),45429.66666666667)</f>
        <v>45429.66667</v>
      </c>
      <c r="D792" s="1">
        <f>IFERROR(__xludf.DUMMYFUNCTION("""COMPUTED_VALUE"""),420.21)</f>
        <v>420.21</v>
      </c>
      <c r="E792" s="4">
        <f>IFERROR(__xludf.DUMMYFUNCTION("""COMPUTED_VALUE"""),45429.66666666667)</f>
        <v>45429.66667</v>
      </c>
      <c r="F792" s="1">
        <f>IFERROR(__xludf.DUMMYFUNCTION("""COMPUTED_VALUE"""),119.64)</f>
        <v>119.64</v>
      </c>
      <c r="G792" s="4">
        <f>IFERROR(__xludf.DUMMYFUNCTION("""COMPUTED_VALUE"""),45429.66666666667)</f>
        <v>45429.66667</v>
      </c>
      <c r="H792" s="1">
        <f>IFERROR(__xludf.DUMMYFUNCTION("""COMPUTED_VALUE"""),162.67)</f>
        <v>162.67</v>
      </c>
      <c r="I792" s="5">
        <f t="shared" si="1"/>
        <v>0.006162110918</v>
      </c>
      <c r="K792" s="5">
        <f t="shared" si="2"/>
        <v>0.01220818162</v>
      </c>
      <c r="L792" s="5">
        <f t="shared" si="3"/>
        <v>-0.008107656302</v>
      </c>
      <c r="M792" s="5">
        <f t="shared" si="4"/>
        <v>-0.009405544968</v>
      </c>
      <c r="Q792" s="5"/>
    </row>
    <row r="793">
      <c r="A793" s="4">
        <f>IFERROR(__xludf.DUMMYFUNCTION("""COMPUTED_VALUE"""),45432.66666666667)</f>
        <v>45432.66667</v>
      </c>
      <c r="B793" s="1">
        <f>IFERROR(__xludf.DUMMYFUNCTION("""COMPUTED_VALUE"""),191.04)</f>
        <v>191.04</v>
      </c>
      <c r="C793" s="4">
        <f>IFERROR(__xludf.DUMMYFUNCTION("""COMPUTED_VALUE"""),45432.66666666667)</f>
        <v>45432.66667</v>
      </c>
      <c r="D793" s="1">
        <f>IFERROR(__xludf.DUMMYFUNCTION("""COMPUTED_VALUE"""),425.34)</f>
        <v>425.34</v>
      </c>
      <c r="E793" s="4">
        <f>IFERROR(__xludf.DUMMYFUNCTION("""COMPUTED_VALUE"""),45432.66666666667)</f>
        <v>45432.66667</v>
      </c>
      <c r="F793" s="1">
        <f>IFERROR(__xludf.DUMMYFUNCTION("""COMPUTED_VALUE"""),118.67)</f>
        <v>118.67</v>
      </c>
      <c r="G793" s="4">
        <f>IFERROR(__xludf.DUMMYFUNCTION("""COMPUTED_VALUE"""),45432.66666666667)</f>
        <v>45432.66667</v>
      </c>
      <c r="H793" s="1">
        <f>IFERROR(__xludf.DUMMYFUNCTION("""COMPUTED_VALUE"""),161.14)</f>
        <v>161.14</v>
      </c>
      <c r="I793" s="5">
        <f t="shared" si="1"/>
        <v>0.00685720268</v>
      </c>
      <c r="K793" s="5">
        <f t="shared" si="2"/>
        <v>0.008698923214</v>
      </c>
      <c r="L793" s="5">
        <f t="shared" si="3"/>
        <v>-0.006909918261</v>
      </c>
      <c r="M793" s="5">
        <f t="shared" si="4"/>
        <v>-0.007260767035</v>
      </c>
      <c r="Q793" s="5"/>
    </row>
    <row r="794">
      <c r="A794" s="4">
        <f>IFERROR(__xludf.DUMMYFUNCTION("""COMPUTED_VALUE"""),45433.66666666667)</f>
        <v>45433.66667</v>
      </c>
      <c r="B794" s="1">
        <f>IFERROR(__xludf.DUMMYFUNCTION("""COMPUTED_VALUE"""),192.35)</f>
        <v>192.35</v>
      </c>
      <c r="C794" s="4">
        <f>IFERROR(__xludf.DUMMYFUNCTION("""COMPUTED_VALUE"""),45433.66666666667)</f>
        <v>45433.66667</v>
      </c>
      <c r="D794" s="1">
        <f>IFERROR(__xludf.DUMMYFUNCTION("""COMPUTED_VALUE"""),429.04)</f>
        <v>429.04</v>
      </c>
      <c r="E794" s="4">
        <f>IFERROR(__xludf.DUMMYFUNCTION("""COMPUTED_VALUE"""),45433.66666666667)</f>
        <v>45433.66667</v>
      </c>
      <c r="F794" s="1">
        <f>IFERROR(__xludf.DUMMYFUNCTION("""COMPUTED_VALUE"""),117.85)</f>
        <v>117.85</v>
      </c>
      <c r="G794" s="4">
        <f>IFERROR(__xludf.DUMMYFUNCTION("""COMPUTED_VALUE"""),45433.66666666667)</f>
        <v>45433.66667</v>
      </c>
      <c r="H794" s="1">
        <f>IFERROR(__xludf.DUMMYFUNCTION("""COMPUTED_VALUE"""),159.97)</f>
        <v>159.97</v>
      </c>
      <c r="I794" s="5">
        <f t="shared" si="1"/>
        <v>-0.007538341565</v>
      </c>
      <c r="K794" s="5">
        <f t="shared" si="2"/>
        <v>0.003449561812</v>
      </c>
      <c r="L794" s="5">
        <f t="shared" si="3"/>
        <v>-0.02011030972</v>
      </c>
      <c r="M794" s="5">
        <f t="shared" si="4"/>
        <v>-0.01500281303</v>
      </c>
      <c r="Q794" s="5"/>
    </row>
    <row r="795">
      <c r="A795" s="4">
        <f>IFERROR(__xludf.DUMMYFUNCTION("""COMPUTED_VALUE"""),45434.66666666667)</f>
        <v>45434.66667</v>
      </c>
      <c r="B795" s="1">
        <f>IFERROR(__xludf.DUMMYFUNCTION("""COMPUTED_VALUE"""),190.9)</f>
        <v>190.9</v>
      </c>
      <c r="C795" s="4">
        <f>IFERROR(__xludf.DUMMYFUNCTION("""COMPUTED_VALUE"""),45434.66666666667)</f>
        <v>45434.66667</v>
      </c>
      <c r="D795" s="1">
        <f>IFERROR(__xludf.DUMMYFUNCTION("""COMPUTED_VALUE"""),430.52)</f>
        <v>430.52</v>
      </c>
      <c r="E795" s="4">
        <f>IFERROR(__xludf.DUMMYFUNCTION("""COMPUTED_VALUE"""),45434.66666666667)</f>
        <v>45434.66667</v>
      </c>
      <c r="F795" s="1">
        <f>IFERROR(__xludf.DUMMYFUNCTION("""COMPUTED_VALUE"""),115.48)</f>
        <v>115.48</v>
      </c>
      <c r="G795" s="4">
        <f>IFERROR(__xludf.DUMMYFUNCTION("""COMPUTED_VALUE"""),45434.66666666667)</f>
        <v>45434.66667</v>
      </c>
      <c r="H795" s="1">
        <f>IFERROR(__xludf.DUMMYFUNCTION("""COMPUTED_VALUE"""),157.57)</f>
        <v>157.57</v>
      </c>
      <c r="I795" s="5">
        <f t="shared" si="1"/>
        <v>-0.02105814563</v>
      </c>
      <c r="K795" s="5">
        <f t="shared" si="2"/>
        <v>-0.008176159063</v>
      </c>
      <c r="L795" s="5">
        <f t="shared" si="3"/>
        <v>-0.01705923104</v>
      </c>
      <c r="M795" s="5">
        <f t="shared" si="4"/>
        <v>-0.003998223012</v>
      </c>
      <c r="Q795" s="5"/>
    </row>
    <row r="796">
      <c r="A796" s="4">
        <f>IFERROR(__xludf.DUMMYFUNCTION("""COMPUTED_VALUE"""),45435.66666666667)</f>
        <v>45435.66667</v>
      </c>
      <c r="B796" s="1">
        <f>IFERROR(__xludf.DUMMYFUNCTION("""COMPUTED_VALUE"""),186.88)</f>
        <v>186.88</v>
      </c>
      <c r="C796" s="4">
        <f>IFERROR(__xludf.DUMMYFUNCTION("""COMPUTED_VALUE"""),45435.66666666667)</f>
        <v>45435.66667</v>
      </c>
      <c r="D796" s="1">
        <f>IFERROR(__xludf.DUMMYFUNCTION("""COMPUTED_VALUE"""),427.0)</f>
        <v>427</v>
      </c>
      <c r="E796" s="4">
        <f>IFERROR(__xludf.DUMMYFUNCTION("""COMPUTED_VALUE"""),45435.66666666667)</f>
        <v>45435.66667</v>
      </c>
      <c r="F796" s="1">
        <f>IFERROR(__xludf.DUMMYFUNCTION("""COMPUTED_VALUE"""),113.51)</f>
        <v>113.51</v>
      </c>
      <c r="G796" s="4">
        <f>IFERROR(__xludf.DUMMYFUNCTION("""COMPUTED_VALUE"""),45435.66666666667)</f>
        <v>45435.66667</v>
      </c>
      <c r="H796" s="1">
        <f>IFERROR(__xludf.DUMMYFUNCTION("""COMPUTED_VALUE"""),156.94)</f>
        <v>156.94</v>
      </c>
      <c r="I796" s="5">
        <f t="shared" si="1"/>
        <v>0.01658818493</v>
      </c>
      <c r="K796" s="5">
        <f t="shared" si="2"/>
        <v>0.007400468384</v>
      </c>
      <c r="L796" s="5">
        <f t="shared" si="3"/>
        <v>-0.0007928816844</v>
      </c>
      <c r="M796" s="5">
        <f t="shared" si="4"/>
        <v>0.005161208105</v>
      </c>
      <c r="Q796" s="5"/>
    </row>
    <row r="797">
      <c r="A797" s="4">
        <f>IFERROR(__xludf.DUMMYFUNCTION("""COMPUTED_VALUE"""),45436.66666666667)</f>
        <v>45436.66667</v>
      </c>
      <c r="B797" s="1">
        <f>IFERROR(__xludf.DUMMYFUNCTION("""COMPUTED_VALUE"""),189.98)</f>
        <v>189.98</v>
      </c>
      <c r="C797" s="4">
        <f>IFERROR(__xludf.DUMMYFUNCTION("""COMPUTED_VALUE"""),45436.66666666667)</f>
        <v>45436.66667</v>
      </c>
      <c r="D797" s="1">
        <f>IFERROR(__xludf.DUMMYFUNCTION("""COMPUTED_VALUE"""),430.16)</f>
        <v>430.16</v>
      </c>
      <c r="E797" s="4">
        <f>IFERROR(__xludf.DUMMYFUNCTION("""COMPUTED_VALUE"""),45436.66666666667)</f>
        <v>45436.66667</v>
      </c>
      <c r="F797" s="1">
        <f>IFERROR(__xludf.DUMMYFUNCTION("""COMPUTED_VALUE"""),113.42)</f>
        <v>113.42</v>
      </c>
      <c r="G797" s="4">
        <f>IFERROR(__xludf.DUMMYFUNCTION("""COMPUTED_VALUE"""),45436.66666666667)</f>
        <v>45436.66667</v>
      </c>
      <c r="H797" s="1">
        <f>IFERROR(__xludf.DUMMYFUNCTION("""COMPUTED_VALUE"""),157.75)</f>
        <v>157.75</v>
      </c>
      <c r="I797" s="5">
        <f t="shared" si="1"/>
        <v>0.0000526371197</v>
      </c>
      <c r="K797" s="5">
        <f t="shared" si="2"/>
        <v>0.0003719546215</v>
      </c>
      <c r="L797" s="5">
        <f t="shared" si="3"/>
        <v>0.01269617351</v>
      </c>
      <c r="M797" s="5">
        <f t="shared" si="4"/>
        <v>0.008177496038</v>
      </c>
      <c r="Q797" s="5"/>
    </row>
    <row r="798">
      <c r="A798" s="4">
        <f>IFERROR(__xludf.DUMMYFUNCTION("""COMPUTED_VALUE"""),45440.66666666667)</f>
        <v>45440.66667</v>
      </c>
      <c r="B798" s="1">
        <f>IFERROR(__xludf.DUMMYFUNCTION("""COMPUTED_VALUE"""),189.99)</f>
        <v>189.99</v>
      </c>
      <c r="C798" s="4">
        <f>IFERROR(__xludf.DUMMYFUNCTION("""COMPUTED_VALUE"""),45440.66666666667)</f>
        <v>45440.66667</v>
      </c>
      <c r="D798" s="1">
        <f>IFERROR(__xludf.DUMMYFUNCTION("""COMPUTED_VALUE"""),430.32)</f>
        <v>430.32</v>
      </c>
      <c r="E798" s="4">
        <f>IFERROR(__xludf.DUMMYFUNCTION("""COMPUTED_VALUE"""),45440.66666666667)</f>
        <v>45440.66667</v>
      </c>
      <c r="F798" s="1">
        <f>IFERROR(__xludf.DUMMYFUNCTION("""COMPUTED_VALUE"""),114.86)</f>
        <v>114.86</v>
      </c>
      <c r="G798" s="4">
        <f>IFERROR(__xludf.DUMMYFUNCTION("""COMPUTED_VALUE"""),45440.66666666667)</f>
        <v>45440.66667</v>
      </c>
      <c r="H798" s="1">
        <f>IFERROR(__xludf.DUMMYFUNCTION("""COMPUTED_VALUE"""),159.04)</f>
        <v>159.04</v>
      </c>
      <c r="I798" s="5">
        <f t="shared" si="1"/>
        <v>0.001579030475</v>
      </c>
      <c r="K798" s="5">
        <f t="shared" si="2"/>
        <v>-0.00267242982</v>
      </c>
      <c r="L798" s="5">
        <f t="shared" si="3"/>
        <v>-0.01070868884</v>
      </c>
      <c r="M798" s="5">
        <f t="shared" si="4"/>
        <v>-0.01345573441</v>
      </c>
      <c r="Q798" s="5"/>
    </row>
    <row r="799">
      <c r="A799" s="4">
        <f>IFERROR(__xludf.DUMMYFUNCTION("""COMPUTED_VALUE"""),45441.66666666667)</f>
        <v>45441.66667</v>
      </c>
      <c r="B799" s="1">
        <f>IFERROR(__xludf.DUMMYFUNCTION("""COMPUTED_VALUE"""),190.29)</f>
        <v>190.29</v>
      </c>
      <c r="C799" s="4">
        <f>IFERROR(__xludf.DUMMYFUNCTION("""COMPUTED_VALUE"""),45441.66666666667)</f>
        <v>45441.66667</v>
      </c>
      <c r="D799" s="1">
        <f>IFERROR(__xludf.DUMMYFUNCTION("""COMPUTED_VALUE"""),429.17)</f>
        <v>429.17</v>
      </c>
      <c r="E799" s="4">
        <f>IFERROR(__xludf.DUMMYFUNCTION("""COMPUTED_VALUE"""),45441.66666666667)</f>
        <v>45441.66667</v>
      </c>
      <c r="F799" s="1">
        <f>IFERROR(__xludf.DUMMYFUNCTION("""COMPUTED_VALUE"""),113.63)</f>
        <v>113.63</v>
      </c>
      <c r="G799" s="4">
        <f>IFERROR(__xludf.DUMMYFUNCTION("""COMPUTED_VALUE"""),45441.66666666667)</f>
        <v>45441.66667</v>
      </c>
      <c r="H799" s="1">
        <f>IFERROR(__xludf.DUMMYFUNCTION("""COMPUTED_VALUE"""),156.9)</f>
        <v>156.9</v>
      </c>
      <c r="I799" s="5">
        <f t="shared" si="1"/>
        <v>0.005255136896</v>
      </c>
      <c r="K799" s="5">
        <f t="shared" si="2"/>
        <v>-0.03378614535</v>
      </c>
      <c r="L799" s="5">
        <f t="shared" si="3"/>
        <v>0.003168177418</v>
      </c>
      <c r="M799" s="5">
        <f t="shared" si="4"/>
        <v>0.008667941364</v>
      </c>
      <c r="Q799" s="5"/>
    </row>
    <row r="800">
      <c r="A800" s="4">
        <f>IFERROR(__xludf.DUMMYFUNCTION("""COMPUTED_VALUE"""),45442.66666666667)</f>
        <v>45442.66667</v>
      </c>
      <c r="B800" s="1">
        <f>IFERROR(__xludf.DUMMYFUNCTION("""COMPUTED_VALUE"""),191.29)</f>
        <v>191.29</v>
      </c>
      <c r="C800" s="4">
        <f>IFERROR(__xludf.DUMMYFUNCTION("""COMPUTED_VALUE"""),45442.66666666667)</f>
        <v>45442.66667</v>
      </c>
      <c r="D800" s="1">
        <f>IFERROR(__xludf.DUMMYFUNCTION("""COMPUTED_VALUE"""),414.67)</f>
        <v>414.67</v>
      </c>
      <c r="E800" s="4">
        <f>IFERROR(__xludf.DUMMYFUNCTION("""COMPUTED_VALUE"""),45442.66666666667)</f>
        <v>45442.66667</v>
      </c>
      <c r="F800" s="1">
        <f>IFERROR(__xludf.DUMMYFUNCTION("""COMPUTED_VALUE"""),113.99)</f>
        <v>113.99</v>
      </c>
      <c r="G800" s="4">
        <f>IFERROR(__xludf.DUMMYFUNCTION("""COMPUTED_VALUE"""),45442.66666666667)</f>
        <v>45442.66667</v>
      </c>
      <c r="H800" s="1">
        <f>IFERROR(__xludf.DUMMYFUNCTION("""COMPUTED_VALUE"""),158.26)</f>
        <v>158.26</v>
      </c>
      <c r="I800" s="5">
        <f t="shared" si="1"/>
        <v>0.00501855821</v>
      </c>
      <c r="K800" s="5">
        <f t="shared" si="2"/>
        <v>0.001109315842</v>
      </c>
      <c r="L800" s="5">
        <f t="shared" si="3"/>
        <v>0.02868672691</v>
      </c>
      <c r="M800" s="5">
        <f t="shared" si="4"/>
        <v>0.02552761279</v>
      </c>
      <c r="Q800" s="5"/>
    </row>
    <row r="801">
      <c r="A801" s="4">
        <f>IFERROR(__xludf.DUMMYFUNCTION("""COMPUTED_VALUE"""),45443.66666666667)</f>
        <v>45443.66667</v>
      </c>
      <c r="B801" s="1">
        <f>IFERROR(__xludf.DUMMYFUNCTION("""COMPUTED_VALUE"""),192.25)</f>
        <v>192.25</v>
      </c>
      <c r="C801" s="4">
        <f>IFERROR(__xludf.DUMMYFUNCTION("""COMPUTED_VALUE"""),45443.66666666667)</f>
        <v>45443.66667</v>
      </c>
      <c r="D801" s="1">
        <f>IFERROR(__xludf.DUMMYFUNCTION("""COMPUTED_VALUE"""),415.13)</f>
        <v>415.13</v>
      </c>
      <c r="E801" s="4">
        <f>IFERROR(__xludf.DUMMYFUNCTION("""COMPUTED_VALUE"""),45443.66666666667)</f>
        <v>45443.66667</v>
      </c>
      <c r="F801" s="1">
        <f>IFERROR(__xludf.DUMMYFUNCTION("""COMPUTED_VALUE"""),117.26)</f>
        <v>117.26</v>
      </c>
      <c r="G801" s="4">
        <f>IFERROR(__xludf.DUMMYFUNCTION("""COMPUTED_VALUE"""),45443.66666666667)</f>
        <v>45443.66667</v>
      </c>
      <c r="H801" s="1">
        <f>IFERROR(__xludf.DUMMYFUNCTION("""COMPUTED_VALUE"""),162.3)</f>
        <v>162.3</v>
      </c>
      <c r="I801" s="5">
        <f t="shared" si="1"/>
        <v>0.009258777633</v>
      </c>
      <c r="K801" s="5">
        <f t="shared" si="2"/>
        <v>-0.003878303182</v>
      </c>
      <c r="L801" s="5">
        <f t="shared" si="3"/>
        <v>-0.02396384104</v>
      </c>
      <c r="M801" s="5">
        <f t="shared" si="4"/>
        <v>-0.02982131855</v>
      </c>
      <c r="Q801" s="5"/>
    </row>
    <row r="802">
      <c r="A802" s="4">
        <f>IFERROR(__xludf.DUMMYFUNCTION("""COMPUTED_VALUE"""),45446.66666666667)</f>
        <v>45446.66667</v>
      </c>
      <c r="B802" s="1">
        <f>IFERROR(__xludf.DUMMYFUNCTION("""COMPUTED_VALUE"""),194.03)</f>
        <v>194.03</v>
      </c>
      <c r="C802" s="4">
        <f>IFERROR(__xludf.DUMMYFUNCTION("""COMPUTED_VALUE"""),45446.66666666667)</f>
        <v>45446.66667</v>
      </c>
      <c r="D802" s="1">
        <f>IFERROR(__xludf.DUMMYFUNCTION("""COMPUTED_VALUE"""),413.52)</f>
        <v>413.52</v>
      </c>
      <c r="E802" s="4">
        <f>IFERROR(__xludf.DUMMYFUNCTION("""COMPUTED_VALUE"""),45446.66666666667)</f>
        <v>45446.66667</v>
      </c>
      <c r="F802" s="1">
        <f>IFERROR(__xludf.DUMMYFUNCTION("""COMPUTED_VALUE"""),114.45)</f>
        <v>114.45</v>
      </c>
      <c r="G802" s="4">
        <f>IFERROR(__xludf.DUMMYFUNCTION("""COMPUTED_VALUE"""),45446.66666666667)</f>
        <v>45446.66667</v>
      </c>
      <c r="H802" s="1">
        <f>IFERROR(__xludf.DUMMYFUNCTION("""COMPUTED_VALUE"""),157.46)</f>
        <v>157.46</v>
      </c>
      <c r="I802" s="5">
        <f t="shared" si="1"/>
        <v>0.001649229501</v>
      </c>
      <c r="K802" s="5">
        <f t="shared" si="2"/>
        <v>0.006166569936</v>
      </c>
      <c r="L802" s="5">
        <f t="shared" si="3"/>
        <v>-0.01555264308</v>
      </c>
      <c r="M802" s="5">
        <f t="shared" si="4"/>
        <v>-0.00844658961</v>
      </c>
      <c r="Q802" s="5"/>
    </row>
    <row r="803">
      <c r="A803" s="4">
        <f>IFERROR(__xludf.DUMMYFUNCTION("""COMPUTED_VALUE"""),45447.66666666667)</f>
        <v>45447.66667</v>
      </c>
      <c r="B803" s="1">
        <f>IFERROR(__xludf.DUMMYFUNCTION("""COMPUTED_VALUE"""),194.35)</f>
        <v>194.35</v>
      </c>
      <c r="C803" s="4">
        <f>IFERROR(__xludf.DUMMYFUNCTION("""COMPUTED_VALUE"""),45447.66666666667)</f>
        <v>45447.66667</v>
      </c>
      <c r="D803" s="1">
        <f>IFERROR(__xludf.DUMMYFUNCTION("""COMPUTED_VALUE"""),416.07)</f>
        <v>416.07</v>
      </c>
      <c r="E803" s="4">
        <f>IFERROR(__xludf.DUMMYFUNCTION("""COMPUTED_VALUE"""),45447.66666666667)</f>
        <v>45447.66667</v>
      </c>
      <c r="F803" s="1">
        <f>IFERROR(__xludf.DUMMYFUNCTION("""COMPUTED_VALUE"""),112.67)</f>
        <v>112.67</v>
      </c>
      <c r="G803" s="4">
        <f>IFERROR(__xludf.DUMMYFUNCTION("""COMPUTED_VALUE"""),45447.66666666667)</f>
        <v>45447.66667</v>
      </c>
      <c r="H803" s="1">
        <f>IFERROR(__xludf.DUMMYFUNCTION("""COMPUTED_VALUE"""),156.13)</f>
        <v>156.13</v>
      </c>
      <c r="I803" s="5">
        <f t="shared" si="1"/>
        <v>0.0078209416</v>
      </c>
      <c r="K803" s="5">
        <f t="shared" si="2"/>
        <v>0.01908332732</v>
      </c>
      <c r="L803" s="5">
        <f t="shared" si="3"/>
        <v>0.003993964676</v>
      </c>
      <c r="M803" s="5">
        <f t="shared" si="4"/>
        <v>-0.007365656824</v>
      </c>
      <c r="Q803" s="5"/>
    </row>
    <row r="804">
      <c r="A804" s="4">
        <f>IFERROR(__xludf.DUMMYFUNCTION("""COMPUTED_VALUE"""),45448.66666666667)</f>
        <v>45448.66667</v>
      </c>
      <c r="B804" s="1">
        <f>IFERROR(__xludf.DUMMYFUNCTION("""COMPUTED_VALUE"""),195.87)</f>
        <v>195.87</v>
      </c>
      <c r="C804" s="4">
        <f>IFERROR(__xludf.DUMMYFUNCTION("""COMPUTED_VALUE"""),45448.66666666667)</f>
        <v>45448.66667</v>
      </c>
      <c r="D804" s="1">
        <f>IFERROR(__xludf.DUMMYFUNCTION("""COMPUTED_VALUE"""),424.01)</f>
        <v>424.01</v>
      </c>
      <c r="E804" s="4">
        <f>IFERROR(__xludf.DUMMYFUNCTION("""COMPUTED_VALUE"""),45448.66666666667)</f>
        <v>45448.66667</v>
      </c>
      <c r="F804" s="1">
        <f>IFERROR(__xludf.DUMMYFUNCTION("""COMPUTED_VALUE"""),113.12)</f>
        <v>113.12</v>
      </c>
      <c r="G804" s="4">
        <f>IFERROR(__xludf.DUMMYFUNCTION("""COMPUTED_VALUE"""),45448.66666666667)</f>
        <v>45448.66667</v>
      </c>
      <c r="H804" s="1">
        <f>IFERROR(__xludf.DUMMYFUNCTION("""COMPUTED_VALUE"""),154.98)</f>
        <v>154.98</v>
      </c>
      <c r="I804" s="5">
        <f t="shared" si="1"/>
        <v>-0.007096543626</v>
      </c>
      <c r="K804" s="5">
        <f t="shared" si="2"/>
        <v>0.001202801821</v>
      </c>
      <c r="L804" s="5">
        <f t="shared" si="3"/>
        <v>0.007514144272</v>
      </c>
      <c r="M804" s="5">
        <f t="shared" si="4"/>
        <v>0.006129823203</v>
      </c>
      <c r="Q804" s="5"/>
    </row>
    <row r="805">
      <c r="A805" s="4">
        <f>IFERROR(__xludf.DUMMYFUNCTION("""COMPUTED_VALUE"""),45449.66666666667)</f>
        <v>45449.66667</v>
      </c>
      <c r="B805" s="1">
        <f>IFERROR(__xludf.DUMMYFUNCTION("""COMPUTED_VALUE"""),194.48)</f>
        <v>194.48</v>
      </c>
      <c r="C805" s="4">
        <f>IFERROR(__xludf.DUMMYFUNCTION("""COMPUTED_VALUE"""),45449.66666666667)</f>
        <v>45449.66667</v>
      </c>
      <c r="D805" s="1">
        <f>IFERROR(__xludf.DUMMYFUNCTION("""COMPUTED_VALUE"""),424.52)</f>
        <v>424.52</v>
      </c>
      <c r="E805" s="4">
        <f>IFERROR(__xludf.DUMMYFUNCTION("""COMPUTED_VALUE"""),45449.66666666667)</f>
        <v>45449.66667</v>
      </c>
      <c r="F805" s="1">
        <f>IFERROR(__xludf.DUMMYFUNCTION("""COMPUTED_VALUE"""),113.97)</f>
        <v>113.97</v>
      </c>
      <c r="G805" s="4">
        <f>IFERROR(__xludf.DUMMYFUNCTION("""COMPUTED_VALUE"""),45449.66666666667)</f>
        <v>45449.66667</v>
      </c>
      <c r="H805" s="1">
        <f>IFERROR(__xludf.DUMMYFUNCTION("""COMPUTED_VALUE"""),155.93)</f>
        <v>155.93</v>
      </c>
      <c r="I805" s="5">
        <f t="shared" si="1"/>
        <v>0.01239201974</v>
      </c>
      <c r="K805" s="5">
        <f t="shared" si="2"/>
        <v>-0.001578253086</v>
      </c>
      <c r="L805" s="5">
        <f t="shared" si="3"/>
        <v>-0.01070457138</v>
      </c>
      <c r="M805" s="5">
        <f t="shared" si="4"/>
        <v>0.0009619701148</v>
      </c>
      <c r="Q805" s="5"/>
    </row>
    <row r="806">
      <c r="A806" s="4">
        <f>IFERROR(__xludf.DUMMYFUNCTION("""COMPUTED_VALUE"""),45450.66666666667)</f>
        <v>45450.66667</v>
      </c>
      <c r="B806" s="1">
        <f>IFERROR(__xludf.DUMMYFUNCTION("""COMPUTED_VALUE"""),196.89)</f>
        <v>196.89</v>
      </c>
      <c r="C806" s="4">
        <f>IFERROR(__xludf.DUMMYFUNCTION("""COMPUTED_VALUE"""),45450.66666666667)</f>
        <v>45450.66667</v>
      </c>
      <c r="D806" s="1">
        <f>IFERROR(__xludf.DUMMYFUNCTION("""COMPUTED_VALUE"""),423.85)</f>
        <v>423.85</v>
      </c>
      <c r="E806" s="4">
        <f>IFERROR(__xludf.DUMMYFUNCTION("""COMPUTED_VALUE"""),45450.66666666667)</f>
        <v>45450.66667</v>
      </c>
      <c r="F806" s="1">
        <f>IFERROR(__xludf.DUMMYFUNCTION("""COMPUTED_VALUE"""),112.75)</f>
        <v>112.75</v>
      </c>
      <c r="G806" s="4">
        <f>IFERROR(__xludf.DUMMYFUNCTION("""COMPUTED_VALUE"""),45450.66666666667)</f>
        <v>45450.66667</v>
      </c>
      <c r="H806" s="1">
        <f>IFERROR(__xludf.DUMMYFUNCTION("""COMPUTED_VALUE"""),156.08)</f>
        <v>156.08</v>
      </c>
      <c r="I806" s="5">
        <f t="shared" si="1"/>
        <v>-0.01914774747</v>
      </c>
      <c r="K806" s="5">
        <f t="shared" si="2"/>
        <v>0.009484487437</v>
      </c>
      <c r="L806" s="5">
        <f t="shared" si="3"/>
        <v>0.002926829268</v>
      </c>
      <c r="M806" s="5">
        <f t="shared" si="4"/>
        <v>0.004228600718</v>
      </c>
      <c r="Q806" s="5"/>
    </row>
    <row r="807">
      <c r="A807" s="4">
        <f>IFERROR(__xludf.DUMMYFUNCTION("""COMPUTED_VALUE"""),45453.66666666667)</f>
        <v>45453.66667</v>
      </c>
      <c r="B807" s="1">
        <f>IFERROR(__xludf.DUMMYFUNCTION("""COMPUTED_VALUE"""),193.12)</f>
        <v>193.12</v>
      </c>
      <c r="C807" s="4">
        <f>IFERROR(__xludf.DUMMYFUNCTION("""COMPUTED_VALUE"""),45453.66666666667)</f>
        <v>45453.66667</v>
      </c>
      <c r="D807" s="1">
        <f>IFERROR(__xludf.DUMMYFUNCTION("""COMPUTED_VALUE"""),427.87)</f>
        <v>427.87</v>
      </c>
      <c r="E807" s="4">
        <f>IFERROR(__xludf.DUMMYFUNCTION("""COMPUTED_VALUE"""),45453.66666666667)</f>
        <v>45453.66667</v>
      </c>
      <c r="F807" s="1">
        <f>IFERROR(__xludf.DUMMYFUNCTION("""COMPUTED_VALUE"""),113.08)</f>
        <v>113.08</v>
      </c>
      <c r="G807" s="4">
        <f>IFERROR(__xludf.DUMMYFUNCTION("""COMPUTED_VALUE"""),45453.66666666667)</f>
        <v>45453.66667</v>
      </c>
      <c r="H807" s="1">
        <f>IFERROR(__xludf.DUMMYFUNCTION("""COMPUTED_VALUE"""),156.74)</f>
        <v>156.74</v>
      </c>
      <c r="I807" s="5">
        <f t="shared" si="1"/>
        <v>0.07264913007</v>
      </c>
      <c r="K807" s="5">
        <f t="shared" si="2"/>
        <v>0.0112417323</v>
      </c>
      <c r="L807" s="5">
        <f t="shared" si="3"/>
        <v>-0.008047400071</v>
      </c>
      <c r="M807" s="5">
        <f t="shared" si="4"/>
        <v>-0.001594998086</v>
      </c>
      <c r="Q807" s="5"/>
    </row>
    <row r="808">
      <c r="A808" s="4">
        <f>IFERROR(__xludf.DUMMYFUNCTION("""COMPUTED_VALUE"""),45454.66666666667)</f>
        <v>45454.66667</v>
      </c>
      <c r="B808" s="1">
        <f>IFERROR(__xludf.DUMMYFUNCTION("""COMPUTED_VALUE"""),207.15)</f>
        <v>207.15</v>
      </c>
      <c r="C808" s="4">
        <f>IFERROR(__xludf.DUMMYFUNCTION("""COMPUTED_VALUE"""),45454.66666666667)</f>
        <v>45454.66667</v>
      </c>
      <c r="D808" s="1">
        <f>IFERROR(__xludf.DUMMYFUNCTION("""COMPUTED_VALUE"""),432.68)</f>
        <v>432.68</v>
      </c>
      <c r="E808" s="4">
        <f>IFERROR(__xludf.DUMMYFUNCTION("""COMPUTED_VALUE"""),45454.66666666667)</f>
        <v>45454.66667</v>
      </c>
      <c r="F808" s="1">
        <f>IFERROR(__xludf.DUMMYFUNCTION("""COMPUTED_VALUE"""),112.17)</f>
        <v>112.17</v>
      </c>
      <c r="G808" s="4">
        <f>IFERROR(__xludf.DUMMYFUNCTION("""COMPUTED_VALUE"""),45454.66666666667)</f>
        <v>45454.66667</v>
      </c>
      <c r="H808" s="1">
        <f>IFERROR(__xludf.DUMMYFUNCTION("""COMPUTED_VALUE"""),156.49)</f>
        <v>156.49</v>
      </c>
      <c r="I808" s="5">
        <f t="shared" si="1"/>
        <v>0.02857832489</v>
      </c>
      <c r="K808" s="5">
        <f t="shared" si="2"/>
        <v>0.01936766201</v>
      </c>
      <c r="L808" s="5">
        <f t="shared" si="3"/>
        <v>-0.01105464919</v>
      </c>
      <c r="M808" s="5">
        <f t="shared" si="4"/>
        <v>-0.01450571922</v>
      </c>
      <c r="Q808" s="5"/>
    </row>
    <row r="809">
      <c r="A809" s="4">
        <f>IFERROR(__xludf.DUMMYFUNCTION("""COMPUTED_VALUE"""),45455.66666666667)</f>
        <v>45455.66667</v>
      </c>
      <c r="B809" s="1">
        <f>IFERROR(__xludf.DUMMYFUNCTION("""COMPUTED_VALUE"""),213.07)</f>
        <v>213.07</v>
      </c>
      <c r="C809" s="4">
        <f>IFERROR(__xludf.DUMMYFUNCTION("""COMPUTED_VALUE"""),45455.66666666667)</f>
        <v>45455.66667</v>
      </c>
      <c r="D809" s="1">
        <f>IFERROR(__xludf.DUMMYFUNCTION("""COMPUTED_VALUE"""),441.06)</f>
        <v>441.06</v>
      </c>
      <c r="E809" s="4">
        <f>IFERROR(__xludf.DUMMYFUNCTION("""COMPUTED_VALUE"""),45455.66666666667)</f>
        <v>45455.66667</v>
      </c>
      <c r="F809" s="1">
        <f>IFERROR(__xludf.DUMMYFUNCTION("""COMPUTED_VALUE"""),110.93)</f>
        <v>110.93</v>
      </c>
      <c r="G809" s="4">
        <f>IFERROR(__xludf.DUMMYFUNCTION("""COMPUTED_VALUE"""),45455.66666666667)</f>
        <v>45455.66667</v>
      </c>
      <c r="H809" s="1">
        <f>IFERROR(__xludf.DUMMYFUNCTION("""COMPUTED_VALUE"""),154.22)</f>
        <v>154.22</v>
      </c>
      <c r="I809" s="5">
        <f t="shared" si="1"/>
        <v>0.005491153142</v>
      </c>
      <c r="K809" s="5">
        <f t="shared" si="2"/>
        <v>0.001178977917</v>
      </c>
      <c r="L809" s="5">
        <f t="shared" si="3"/>
        <v>-0.008023077617</v>
      </c>
      <c r="M809" s="5">
        <f t="shared" si="4"/>
        <v>-0.008948255739</v>
      </c>
      <c r="Q809" s="5"/>
    </row>
    <row r="810">
      <c r="A810" s="4">
        <f>IFERROR(__xludf.DUMMYFUNCTION("""COMPUTED_VALUE"""),45456.66666666667)</f>
        <v>45456.66667</v>
      </c>
      <c r="B810" s="1">
        <f>IFERROR(__xludf.DUMMYFUNCTION("""COMPUTED_VALUE"""),214.24)</f>
        <v>214.24</v>
      </c>
      <c r="C810" s="4">
        <f>IFERROR(__xludf.DUMMYFUNCTION("""COMPUTED_VALUE"""),45456.66666666667)</f>
        <v>45456.66667</v>
      </c>
      <c r="D810" s="1">
        <f>IFERROR(__xludf.DUMMYFUNCTION("""COMPUTED_VALUE"""),441.58)</f>
        <v>441.58</v>
      </c>
      <c r="E810" s="4">
        <f>IFERROR(__xludf.DUMMYFUNCTION("""COMPUTED_VALUE"""),45456.66666666667)</f>
        <v>45456.66667</v>
      </c>
      <c r="F810" s="1">
        <f>IFERROR(__xludf.DUMMYFUNCTION("""COMPUTED_VALUE"""),110.04)</f>
        <v>110.04</v>
      </c>
      <c r="G810" s="4">
        <f>IFERROR(__xludf.DUMMYFUNCTION("""COMPUTED_VALUE"""),45456.66666666667)</f>
        <v>45456.66667</v>
      </c>
      <c r="H810" s="1">
        <f>IFERROR(__xludf.DUMMYFUNCTION("""COMPUTED_VALUE"""),152.84)</f>
        <v>152.84</v>
      </c>
      <c r="I810" s="5">
        <f t="shared" si="1"/>
        <v>-0.008168409261</v>
      </c>
      <c r="K810" s="5">
        <f t="shared" si="2"/>
        <v>0.002241949364</v>
      </c>
      <c r="L810" s="5">
        <f t="shared" si="3"/>
        <v>-0.008451472192</v>
      </c>
      <c r="M810" s="5">
        <f t="shared" si="4"/>
        <v>-0.001766553258</v>
      </c>
      <c r="Q810" s="5"/>
    </row>
    <row r="811">
      <c r="A811" s="4">
        <f>IFERROR(__xludf.DUMMYFUNCTION("""COMPUTED_VALUE"""),45457.66666666667)</f>
        <v>45457.66667</v>
      </c>
      <c r="B811" s="1">
        <f>IFERROR(__xludf.DUMMYFUNCTION("""COMPUTED_VALUE"""),212.49)</f>
        <v>212.49</v>
      </c>
      <c r="C811" s="4">
        <f>IFERROR(__xludf.DUMMYFUNCTION("""COMPUTED_VALUE"""),45457.66666666667)</f>
        <v>45457.66667</v>
      </c>
      <c r="D811" s="1">
        <f>IFERROR(__xludf.DUMMYFUNCTION("""COMPUTED_VALUE"""),442.57)</f>
        <v>442.57</v>
      </c>
      <c r="E811" s="4">
        <f>IFERROR(__xludf.DUMMYFUNCTION("""COMPUTED_VALUE"""),45457.66666666667)</f>
        <v>45457.66667</v>
      </c>
      <c r="F811" s="1">
        <f>IFERROR(__xludf.DUMMYFUNCTION("""COMPUTED_VALUE"""),109.11)</f>
        <v>109.11</v>
      </c>
      <c r="G811" s="4">
        <f>IFERROR(__xludf.DUMMYFUNCTION("""COMPUTED_VALUE"""),45457.66666666667)</f>
        <v>45457.66667</v>
      </c>
      <c r="H811" s="1">
        <f>IFERROR(__xludf.DUMMYFUNCTION("""COMPUTED_VALUE"""),152.57)</f>
        <v>152.57</v>
      </c>
      <c r="I811" s="5">
        <f t="shared" si="1"/>
        <v>0.01967151395</v>
      </c>
      <c r="K811" s="5">
        <f t="shared" si="2"/>
        <v>0.01310527148</v>
      </c>
      <c r="L811" s="5">
        <f t="shared" si="3"/>
        <v>-0.006873797086</v>
      </c>
      <c r="M811" s="5">
        <f t="shared" si="4"/>
        <v>0.004063708462</v>
      </c>
      <c r="Q811" s="5"/>
    </row>
    <row r="812">
      <c r="A812" s="4">
        <f>IFERROR(__xludf.DUMMYFUNCTION("""COMPUTED_VALUE"""),45460.66666666667)</f>
        <v>45460.66667</v>
      </c>
      <c r="B812" s="1">
        <f>IFERROR(__xludf.DUMMYFUNCTION("""COMPUTED_VALUE"""),216.67)</f>
        <v>216.67</v>
      </c>
      <c r="C812" s="4">
        <f>IFERROR(__xludf.DUMMYFUNCTION("""COMPUTED_VALUE"""),45460.66666666667)</f>
        <v>45460.66667</v>
      </c>
      <c r="D812" s="1">
        <f>IFERROR(__xludf.DUMMYFUNCTION("""COMPUTED_VALUE"""),448.37)</f>
        <v>448.37</v>
      </c>
      <c r="E812" s="4">
        <f>IFERROR(__xludf.DUMMYFUNCTION("""COMPUTED_VALUE"""),45460.66666666667)</f>
        <v>45460.66667</v>
      </c>
      <c r="F812" s="1">
        <f>IFERROR(__xludf.DUMMYFUNCTION("""COMPUTED_VALUE"""),108.36)</f>
        <v>108.36</v>
      </c>
      <c r="G812" s="4">
        <f>IFERROR(__xludf.DUMMYFUNCTION("""COMPUTED_VALUE"""),45460.66666666667)</f>
        <v>45460.66667</v>
      </c>
      <c r="H812" s="1">
        <f>IFERROR(__xludf.DUMMYFUNCTION("""COMPUTED_VALUE"""),153.19)</f>
        <v>153.19</v>
      </c>
      <c r="I812" s="5">
        <f t="shared" si="1"/>
        <v>-0.01098444639</v>
      </c>
      <c r="K812" s="5">
        <f t="shared" si="2"/>
        <v>-0.004527510761</v>
      </c>
      <c r="L812" s="5">
        <f t="shared" si="3"/>
        <v>0.009413067553</v>
      </c>
      <c r="M812" s="5">
        <f t="shared" si="4"/>
        <v>0.000913897774</v>
      </c>
      <c r="Q812" s="5"/>
    </row>
    <row r="813">
      <c r="A813" s="4">
        <f>IFERROR(__xludf.DUMMYFUNCTION("""COMPUTED_VALUE"""),45461.66666666667)</f>
        <v>45461.66667</v>
      </c>
      <c r="B813" s="1">
        <f>IFERROR(__xludf.DUMMYFUNCTION("""COMPUTED_VALUE"""),214.29)</f>
        <v>214.29</v>
      </c>
      <c r="C813" s="4">
        <f>IFERROR(__xludf.DUMMYFUNCTION("""COMPUTED_VALUE"""),45461.66666666667)</f>
        <v>45461.66667</v>
      </c>
      <c r="D813" s="1">
        <f>IFERROR(__xludf.DUMMYFUNCTION("""COMPUTED_VALUE"""),446.34)</f>
        <v>446.34</v>
      </c>
      <c r="E813" s="4">
        <f>IFERROR(__xludf.DUMMYFUNCTION("""COMPUTED_VALUE"""),45461.66666666667)</f>
        <v>45461.66667</v>
      </c>
      <c r="F813" s="1">
        <f>IFERROR(__xludf.DUMMYFUNCTION("""COMPUTED_VALUE"""),109.38)</f>
        <v>109.38</v>
      </c>
      <c r="G813" s="4">
        <f>IFERROR(__xludf.DUMMYFUNCTION("""COMPUTED_VALUE"""),45461.66666666667)</f>
        <v>45461.66667</v>
      </c>
      <c r="H813" s="1">
        <f>IFERROR(__xludf.DUMMYFUNCTION("""COMPUTED_VALUE"""),153.33)</f>
        <v>153.33</v>
      </c>
      <c r="I813" s="5">
        <f t="shared" si="1"/>
        <v>-0.02151290308</v>
      </c>
      <c r="K813" s="5">
        <f t="shared" si="2"/>
        <v>-0.001433884483</v>
      </c>
      <c r="L813" s="5">
        <f t="shared" si="3"/>
        <v>0.02157615652</v>
      </c>
      <c r="M813" s="5">
        <f t="shared" si="4"/>
        <v>0.02158742581</v>
      </c>
      <c r="Q813" s="5"/>
    </row>
    <row r="814">
      <c r="A814" s="4">
        <f>IFERROR(__xludf.DUMMYFUNCTION("""COMPUTED_VALUE"""),45463.66666666667)</f>
        <v>45463.66667</v>
      </c>
      <c r="B814" s="1">
        <f>IFERROR(__xludf.DUMMYFUNCTION("""COMPUTED_VALUE"""),209.68)</f>
        <v>209.68</v>
      </c>
      <c r="C814" s="4">
        <f>IFERROR(__xludf.DUMMYFUNCTION("""COMPUTED_VALUE"""),45463.66666666667)</f>
        <v>45463.66667</v>
      </c>
      <c r="D814" s="1">
        <f>IFERROR(__xludf.DUMMYFUNCTION("""COMPUTED_VALUE"""),445.7)</f>
        <v>445.7</v>
      </c>
      <c r="E814" s="4">
        <f>IFERROR(__xludf.DUMMYFUNCTION("""COMPUTED_VALUE"""),45463.66666666667)</f>
        <v>45463.66667</v>
      </c>
      <c r="F814" s="1">
        <f>IFERROR(__xludf.DUMMYFUNCTION("""COMPUTED_VALUE"""),111.74)</f>
        <v>111.74</v>
      </c>
      <c r="G814" s="4">
        <f>IFERROR(__xludf.DUMMYFUNCTION("""COMPUTED_VALUE"""),45463.66666666667)</f>
        <v>45463.66667</v>
      </c>
      <c r="H814" s="1">
        <f>IFERROR(__xludf.DUMMYFUNCTION("""COMPUTED_VALUE"""),156.64)</f>
        <v>156.64</v>
      </c>
      <c r="I814" s="5">
        <f t="shared" si="1"/>
        <v>-0.01044448684</v>
      </c>
      <c r="K814" s="5">
        <f t="shared" si="2"/>
        <v>0.009154139556</v>
      </c>
      <c r="L814" s="5">
        <f t="shared" si="3"/>
        <v>-0.008770359764</v>
      </c>
      <c r="M814" s="5">
        <f t="shared" si="4"/>
        <v>-0.008682328907</v>
      </c>
      <c r="Q814" s="5"/>
    </row>
    <row r="815">
      <c r="A815" s="4">
        <f>IFERROR(__xludf.DUMMYFUNCTION("""COMPUTED_VALUE"""),45464.66666666667)</f>
        <v>45464.66667</v>
      </c>
      <c r="B815" s="1">
        <f>IFERROR(__xludf.DUMMYFUNCTION("""COMPUTED_VALUE"""),207.49)</f>
        <v>207.49</v>
      </c>
      <c r="C815" s="4">
        <f>IFERROR(__xludf.DUMMYFUNCTION("""COMPUTED_VALUE"""),45464.66666666667)</f>
        <v>45464.66667</v>
      </c>
      <c r="D815" s="1">
        <f>IFERROR(__xludf.DUMMYFUNCTION("""COMPUTED_VALUE"""),449.78)</f>
        <v>449.78</v>
      </c>
      <c r="E815" s="4">
        <f>IFERROR(__xludf.DUMMYFUNCTION("""COMPUTED_VALUE"""),45464.66666666667)</f>
        <v>45464.66667</v>
      </c>
      <c r="F815" s="1">
        <f>IFERROR(__xludf.DUMMYFUNCTION("""COMPUTED_VALUE"""),110.76)</f>
        <v>110.76</v>
      </c>
      <c r="G815" s="4">
        <f>IFERROR(__xludf.DUMMYFUNCTION("""COMPUTED_VALUE"""),45464.66666666667)</f>
        <v>45464.66667</v>
      </c>
      <c r="H815" s="1">
        <f>IFERROR(__xludf.DUMMYFUNCTION("""COMPUTED_VALUE"""),155.28)</f>
        <v>155.28</v>
      </c>
      <c r="I815" s="5">
        <f t="shared" si="1"/>
        <v>0.003132681093</v>
      </c>
      <c r="K815" s="5">
        <f t="shared" si="2"/>
        <v>-0.004691182356</v>
      </c>
      <c r="L815" s="5">
        <f t="shared" si="3"/>
        <v>0.02970386421</v>
      </c>
      <c r="M815" s="5">
        <f t="shared" si="4"/>
        <v>0.02595311695</v>
      </c>
      <c r="Q815" s="5"/>
    </row>
    <row r="816">
      <c r="A816" s="4">
        <f>IFERROR(__xludf.DUMMYFUNCTION("""COMPUTED_VALUE"""),45467.66666666667)</f>
        <v>45467.66667</v>
      </c>
      <c r="B816" s="1">
        <f>IFERROR(__xludf.DUMMYFUNCTION("""COMPUTED_VALUE"""),208.14)</f>
        <v>208.14</v>
      </c>
      <c r="C816" s="4">
        <f>IFERROR(__xludf.DUMMYFUNCTION("""COMPUTED_VALUE"""),45467.66666666667)</f>
        <v>45467.66667</v>
      </c>
      <c r="D816" s="1">
        <f>IFERROR(__xludf.DUMMYFUNCTION("""COMPUTED_VALUE"""),447.67)</f>
        <v>447.67</v>
      </c>
      <c r="E816" s="4">
        <f>IFERROR(__xludf.DUMMYFUNCTION("""COMPUTED_VALUE"""),45467.66666666667)</f>
        <v>45467.66667</v>
      </c>
      <c r="F816" s="1">
        <f>IFERROR(__xludf.DUMMYFUNCTION("""COMPUTED_VALUE"""),114.05)</f>
        <v>114.05</v>
      </c>
      <c r="G816" s="4">
        <f>IFERROR(__xludf.DUMMYFUNCTION("""COMPUTED_VALUE"""),45467.66666666667)</f>
        <v>45467.66667</v>
      </c>
      <c r="H816" s="1">
        <f>IFERROR(__xludf.DUMMYFUNCTION("""COMPUTED_VALUE"""),159.31)</f>
        <v>159.31</v>
      </c>
      <c r="I816" s="5">
        <f t="shared" si="1"/>
        <v>0.00446814644</v>
      </c>
      <c r="K816" s="5">
        <f t="shared" si="2"/>
        <v>0.007326825563</v>
      </c>
      <c r="L816" s="5">
        <f t="shared" si="3"/>
        <v>0.002805786936</v>
      </c>
      <c r="M816" s="5">
        <f t="shared" si="4"/>
        <v>-0.005335509384</v>
      </c>
      <c r="Q816" s="5"/>
    </row>
    <row r="817">
      <c r="A817" s="4">
        <f>IFERROR(__xludf.DUMMYFUNCTION("""COMPUTED_VALUE"""),45468.66666666667)</f>
        <v>45468.66667</v>
      </c>
      <c r="B817" s="1">
        <f>IFERROR(__xludf.DUMMYFUNCTION("""COMPUTED_VALUE"""),209.07)</f>
        <v>209.07</v>
      </c>
      <c r="C817" s="4">
        <f>IFERROR(__xludf.DUMMYFUNCTION("""COMPUTED_VALUE"""),45468.66666666667)</f>
        <v>45468.66667</v>
      </c>
      <c r="D817" s="1">
        <f>IFERROR(__xludf.DUMMYFUNCTION("""COMPUTED_VALUE"""),450.95)</f>
        <v>450.95</v>
      </c>
      <c r="E817" s="4">
        <f>IFERROR(__xludf.DUMMYFUNCTION("""COMPUTED_VALUE"""),45468.66666666667)</f>
        <v>45468.66667</v>
      </c>
      <c r="F817" s="1">
        <f>IFERROR(__xludf.DUMMYFUNCTION("""COMPUTED_VALUE"""),114.37)</f>
        <v>114.37</v>
      </c>
      <c r="G817" s="4">
        <f>IFERROR(__xludf.DUMMYFUNCTION("""COMPUTED_VALUE"""),45468.66666666667)</f>
        <v>45468.66667</v>
      </c>
      <c r="H817" s="1">
        <f>IFERROR(__xludf.DUMMYFUNCTION("""COMPUTED_VALUE"""),158.46)</f>
        <v>158.46</v>
      </c>
      <c r="I817" s="5">
        <f t="shared" si="1"/>
        <v>0.01999330368</v>
      </c>
      <c r="K817" s="5">
        <f t="shared" si="2"/>
        <v>0.002683224304</v>
      </c>
      <c r="L817" s="5">
        <f t="shared" si="3"/>
        <v>0.0003497420652</v>
      </c>
      <c r="M817" s="5">
        <f t="shared" si="4"/>
        <v>-0.01583995961</v>
      </c>
      <c r="Q817" s="5"/>
    </row>
    <row r="818">
      <c r="A818" s="4">
        <f>IFERROR(__xludf.DUMMYFUNCTION("""COMPUTED_VALUE"""),45469.66666666667)</f>
        <v>45469.66667</v>
      </c>
      <c r="B818" s="1">
        <f>IFERROR(__xludf.DUMMYFUNCTION("""COMPUTED_VALUE"""),213.25)</f>
        <v>213.25</v>
      </c>
      <c r="C818" s="4">
        <f>IFERROR(__xludf.DUMMYFUNCTION("""COMPUTED_VALUE"""),45469.66666666667)</f>
        <v>45469.66667</v>
      </c>
      <c r="D818" s="1">
        <f>IFERROR(__xludf.DUMMYFUNCTION("""COMPUTED_VALUE"""),452.16)</f>
        <v>452.16</v>
      </c>
      <c r="E818" s="4">
        <f>IFERROR(__xludf.DUMMYFUNCTION("""COMPUTED_VALUE"""),45469.66666666667)</f>
        <v>45469.66667</v>
      </c>
      <c r="F818" s="1">
        <f>IFERROR(__xludf.DUMMYFUNCTION("""COMPUTED_VALUE"""),114.41)</f>
        <v>114.41</v>
      </c>
      <c r="G818" s="4">
        <f>IFERROR(__xludf.DUMMYFUNCTION("""COMPUTED_VALUE"""),45469.66666666667)</f>
        <v>45469.66667</v>
      </c>
      <c r="H818" s="1">
        <f>IFERROR(__xludf.DUMMYFUNCTION("""COMPUTED_VALUE"""),155.95)</f>
        <v>155.95</v>
      </c>
      <c r="I818" s="5">
        <f t="shared" si="1"/>
        <v>0.003985932005</v>
      </c>
      <c r="K818" s="5">
        <f t="shared" si="2"/>
        <v>0.001526008493</v>
      </c>
      <c r="L818" s="5">
        <f t="shared" si="3"/>
        <v>0.004282842409</v>
      </c>
      <c r="M818" s="5">
        <f t="shared" si="4"/>
        <v>0.002372555306</v>
      </c>
      <c r="Q818" s="5"/>
    </row>
    <row r="819">
      <c r="A819" s="4">
        <f>IFERROR(__xludf.DUMMYFUNCTION("""COMPUTED_VALUE"""),45470.66666666667)</f>
        <v>45470.66667</v>
      </c>
      <c r="B819" s="1">
        <f>IFERROR(__xludf.DUMMYFUNCTION("""COMPUTED_VALUE"""),214.1)</f>
        <v>214.1</v>
      </c>
      <c r="C819" s="4">
        <f>IFERROR(__xludf.DUMMYFUNCTION("""COMPUTED_VALUE"""),45470.66666666667)</f>
        <v>45470.66667</v>
      </c>
      <c r="D819" s="1">
        <f>IFERROR(__xludf.DUMMYFUNCTION("""COMPUTED_VALUE"""),452.85)</f>
        <v>452.85</v>
      </c>
      <c r="E819" s="4">
        <f>IFERROR(__xludf.DUMMYFUNCTION("""COMPUTED_VALUE"""),45470.66666666667)</f>
        <v>45470.66667</v>
      </c>
      <c r="F819" s="1">
        <f>IFERROR(__xludf.DUMMYFUNCTION("""COMPUTED_VALUE"""),114.9)</f>
        <v>114.9</v>
      </c>
      <c r="G819" s="4">
        <f>IFERROR(__xludf.DUMMYFUNCTION("""COMPUTED_VALUE"""),45470.66666666667)</f>
        <v>45470.66667</v>
      </c>
      <c r="H819" s="1">
        <f>IFERROR(__xludf.DUMMYFUNCTION("""COMPUTED_VALUE"""),156.32)</f>
        <v>156.32</v>
      </c>
      <c r="I819" s="5">
        <f t="shared" si="1"/>
        <v>-0.01625408688</v>
      </c>
      <c r="K819" s="5">
        <f t="shared" si="2"/>
        <v>-0.01302859667</v>
      </c>
      <c r="L819" s="5">
        <f t="shared" si="3"/>
        <v>0.001914708442</v>
      </c>
      <c r="M819" s="5">
        <f t="shared" si="4"/>
        <v>0.0006397134084</v>
      </c>
      <c r="Q819" s="5"/>
    </row>
    <row r="820">
      <c r="A820" s="4">
        <f>IFERROR(__xludf.DUMMYFUNCTION("""COMPUTED_VALUE"""),45471.66666666667)</f>
        <v>45471.66667</v>
      </c>
      <c r="B820" s="1">
        <f>IFERROR(__xludf.DUMMYFUNCTION("""COMPUTED_VALUE"""),210.62)</f>
        <v>210.62</v>
      </c>
      <c r="C820" s="4">
        <f>IFERROR(__xludf.DUMMYFUNCTION("""COMPUTED_VALUE"""),45471.66666666667)</f>
        <v>45471.66667</v>
      </c>
      <c r="D820" s="1">
        <f>IFERROR(__xludf.DUMMYFUNCTION("""COMPUTED_VALUE"""),446.95)</f>
        <v>446.95</v>
      </c>
      <c r="E820" s="4">
        <f>IFERROR(__xludf.DUMMYFUNCTION("""COMPUTED_VALUE"""),45471.66666666667)</f>
        <v>45471.66667</v>
      </c>
      <c r="F820" s="1">
        <f>IFERROR(__xludf.DUMMYFUNCTION("""COMPUTED_VALUE"""),115.12)</f>
        <v>115.12</v>
      </c>
      <c r="G820" s="4">
        <f>IFERROR(__xludf.DUMMYFUNCTION("""COMPUTED_VALUE"""),45471.66666666667)</f>
        <v>45471.66667</v>
      </c>
      <c r="H820" s="1">
        <f>IFERROR(__xludf.DUMMYFUNCTION("""COMPUTED_VALUE"""),156.42)</f>
        <v>156.42</v>
      </c>
      <c r="I820" s="5">
        <f t="shared" si="1"/>
        <v>0.02910454848</v>
      </c>
      <c r="K820" s="5">
        <f t="shared" si="2"/>
        <v>0.02188164224</v>
      </c>
      <c r="L820" s="5">
        <f t="shared" si="3"/>
        <v>-0.001389854065</v>
      </c>
      <c r="M820" s="5">
        <f t="shared" si="4"/>
        <v>0.0006393044368</v>
      </c>
      <c r="Q820" s="5"/>
    </row>
    <row r="821">
      <c r="A821" s="4">
        <f>IFERROR(__xludf.DUMMYFUNCTION("""COMPUTED_VALUE"""),45474.66666666667)</f>
        <v>45474.66667</v>
      </c>
      <c r="B821" s="1">
        <f>IFERROR(__xludf.DUMMYFUNCTION("""COMPUTED_VALUE"""),216.75)</f>
        <v>216.75</v>
      </c>
      <c r="C821" s="4">
        <f>IFERROR(__xludf.DUMMYFUNCTION("""COMPUTED_VALUE"""),45474.66666666667)</f>
        <v>45474.66667</v>
      </c>
      <c r="D821" s="1">
        <f>IFERROR(__xludf.DUMMYFUNCTION("""COMPUTED_VALUE"""),456.73)</f>
        <v>456.73</v>
      </c>
      <c r="E821" s="4">
        <f>IFERROR(__xludf.DUMMYFUNCTION("""COMPUTED_VALUE"""),45474.66666666667)</f>
        <v>45474.66667</v>
      </c>
      <c r="F821" s="1">
        <f>IFERROR(__xludf.DUMMYFUNCTION("""COMPUTED_VALUE"""),114.96)</f>
        <v>114.96</v>
      </c>
      <c r="G821" s="4">
        <f>IFERROR(__xludf.DUMMYFUNCTION("""COMPUTED_VALUE"""),45474.66666666667)</f>
        <v>45474.66667</v>
      </c>
      <c r="H821" s="1">
        <f>IFERROR(__xludf.DUMMYFUNCTION("""COMPUTED_VALUE"""),156.52)</f>
        <v>156.52</v>
      </c>
      <c r="I821" s="5">
        <f t="shared" si="1"/>
        <v>0.01623990773</v>
      </c>
      <c r="K821" s="5">
        <f t="shared" si="2"/>
        <v>0.005583167298</v>
      </c>
      <c r="L821" s="5">
        <f t="shared" si="3"/>
        <v>-0.006784968685</v>
      </c>
      <c r="M821" s="5">
        <f t="shared" si="4"/>
        <v>0.001469460772</v>
      </c>
      <c r="Q821" s="5"/>
    </row>
    <row r="822">
      <c r="A822" s="4">
        <f>IFERROR(__xludf.DUMMYFUNCTION("""COMPUTED_VALUE"""),45475.66666666667)</f>
        <v>45475.66667</v>
      </c>
      <c r="B822" s="1">
        <f>IFERROR(__xludf.DUMMYFUNCTION("""COMPUTED_VALUE"""),220.27)</f>
        <v>220.27</v>
      </c>
      <c r="C822" s="4">
        <f>IFERROR(__xludf.DUMMYFUNCTION("""COMPUTED_VALUE"""),45475.66666666667)</f>
        <v>45475.66667</v>
      </c>
      <c r="D822" s="1">
        <f>IFERROR(__xludf.DUMMYFUNCTION("""COMPUTED_VALUE"""),459.28)</f>
        <v>459.28</v>
      </c>
      <c r="E822" s="4">
        <f>IFERROR(__xludf.DUMMYFUNCTION("""COMPUTED_VALUE"""),45475.66666666667)</f>
        <v>45475.66667</v>
      </c>
      <c r="F822" s="1">
        <f>IFERROR(__xludf.DUMMYFUNCTION("""COMPUTED_VALUE"""),114.18)</f>
        <v>114.18</v>
      </c>
      <c r="G822" s="4">
        <f>IFERROR(__xludf.DUMMYFUNCTION("""COMPUTED_VALUE"""),45475.66666666667)</f>
        <v>45475.66667</v>
      </c>
      <c r="H822" s="1">
        <f>IFERROR(__xludf.DUMMYFUNCTION("""COMPUTED_VALUE"""),156.75)</f>
        <v>156.75</v>
      </c>
      <c r="I822" s="5">
        <f t="shared" si="1"/>
        <v>0.005811050075</v>
      </c>
      <c r="K822" s="5">
        <f t="shared" si="2"/>
        <v>0.003244208326</v>
      </c>
      <c r="L822" s="5">
        <f t="shared" si="3"/>
        <v>0.005079698721</v>
      </c>
      <c r="M822" s="5">
        <f t="shared" si="4"/>
        <v>-0.0002551834131</v>
      </c>
      <c r="Q822" s="5"/>
    </row>
    <row r="823">
      <c r="A823" s="4">
        <f>IFERROR(__xludf.DUMMYFUNCTION("""COMPUTED_VALUE"""),45476.54513888889)</f>
        <v>45476.54514</v>
      </c>
      <c r="B823" s="1">
        <f>IFERROR(__xludf.DUMMYFUNCTION("""COMPUTED_VALUE"""),221.55)</f>
        <v>221.55</v>
      </c>
      <c r="C823" s="4">
        <f>IFERROR(__xludf.DUMMYFUNCTION("""COMPUTED_VALUE"""),45476.54513888889)</f>
        <v>45476.54514</v>
      </c>
      <c r="D823" s="1">
        <f>IFERROR(__xludf.DUMMYFUNCTION("""COMPUTED_VALUE"""),460.77)</f>
        <v>460.77</v>
      </c>
      <c r="E823" s="4">
        <f>IFERROR(__xludf.DUMMYFUNCTION("""COMPUTED_VALUE"""),45476.54166666667)</f>
        <v>45476.54167</v>
      </c>
      <c r="F823" s="1">
        <f>IFERROR(__xludf.DUMMYFUNCTION("""COMPUTED_VALUE"""),114.76)</f>
        <v>114.76</v>
      </c>
      <c r="G823" s="4">
        <f>IFERROR(__xludf.DUMMYFUNCTION("""COMPUTED_VALUE"""),45476.54166666667)</f>
        <v>45476.54167</v>
      </c>
      <c r="H823" s="1">
        <f>IFERROR(__xludf.DUMMYFUNCTION("""COMPUTED_VALUE"""),156.71)</f>
        <v>156.71</v>
      </c>
      <c r="I823" s="5">
        <f t="shared" si="1"/>
        <v>0.02162040172</v>
      </c>
      <c r="K823" s="5">
        <f t="shared" si="2"/>
        <v>0.01473620244</v>
      </c>
      <c r="L823" s="5">
        <f t="shared" si="3"/>
        <v>-0.01211223423</v>
      </c>
      <c r="M823" s="5">
        <f t="shared" si="4"/>
        <v>-0.0153149129</v>
      </c>
      <c r="Q823" s="5"/>
    </row>
    <row r="824">
      <c r="A824" s="4">
        <f>IFERROR(__xludf.DUMMYFUNCTION("""COMPUTED_VALUE"""),45478.66666666667)</f>
        <v>45478.66667</v>
      </c>
      <c r="B824" s="1">
        <f>IFERROR(__xludf.DUMMYFUNCTION("""COMPUTED_VALUE"""),226.34)</f>
        <v>226.34</v>
      </c>
      <c r="C824" s="4">
        <f>IFERROR(__xludf.DUMMYFUNCTION("""COMPUTED_VALUE"""),45478.66666666667)</f>
        <v>45478.66667</v>
      </c>
      <c r="D824" s="1">
        <f>IFERROR(__xludf.DUMMYFUNCTION("""COMPUTED_VALUE"""),467.56)</f>
        <v>467.56</v>
      </c>
      <c r="E824" s="4">
        <f>IFERROR(__xludf.DUMMYFUNCTION("""COMPUTED_VALUE"""),45478.66666666667)</f>
        <v>45478.66667</v>
      </c>
      <c r="F824" s="1">
        <f>IFERROR(__xludf.DUMMYFUNCTION("""COMPUTED_VALUE"""),113.37)</f>
        <v>113.37</v>
      </c>
      <c r="G824" s="4">
        <f>IFERROR(__xludf.DUMMYFUNCTION("""COMPUTED_VALUE"""),45478.66666666667)</f>
        <v>45478.66667</v>
      </c>
      <c r="H824" s="1">
        <f>IFERROR(__xludf.DUMMYFUNCTION("""COMPUTED_VALUE"""),154.31)</f>
        <v>154.31</v>
      </c>
      <c r="I824" s="5">
        <f t="shared" si="1"/>
        <v>0.00653883538</v>
      </c>
      <c r="K824" s="5">
        <f t="shared" si="2"/>
        <v>-0.00282316708</v>
      </c>
      <c r="L824" s="5">
        <f t="shared" si="3"/>
        <v>-0.01049660404</v>
      </c>
      <c r="M824" s="5">
        <f t="shared" si="4"/>
        <v>0.0001296092282</v>
      </c>
      <c r="Q824" s="5"/>
    </row>
    <row r="825">
      <c r="A825" s="4">
        <f>IFERROR(__xludf.DUMMYFUNCTION("""COMPUTED_VALUE"""),45481.66666666667)</f>
        <v>45481.66667</v>
      </c>
      <c r="B825" s="1">
        <f>IFERROR(__xludf.DUMMYFUNCTION("""COMPUTED_VALUE"""),227.82)</f>
        <v>227.82</v>
      </c>
      <c r="C825" s="4">
        <f>IFERROR(__xludf.DUMMYFUNCTION("""COMPUTED_VALUE"""),45481.66666666667)</f>
        <v>45481.66667</v>
      </c>
      <c r="D825" s="1">
        <f>IFERROR(__xludf.DUMMYFUNCTION("""COMPUTED_VALUE"""),466.24)</f>
        <v>466.24</v>
      </c>
      <c r="E825" s="4">
        <f>IFERROR(__xludf.DUMMYFUNCTION("""COMPUTED_VALUE"""),45481.66666666667)</f>
        <v>45481.66667</v>
      </c>
      <c r="F825" s="1">
        <f>IFERROR(__xludf.DUMMYFUNCTION("""COMPUTED_VALUE"""),112.18)</f>
        <v>112.18</v>
      </c>
      <c r="G825" s="4">
        <f>IFERROR(__xludf.DUMMYFUNCTION("""COMPUTED_VALUE"""),45481.66666666667)</f>
        <v>45481.66667</v>
      </c>
      <c r="H825" s="1">
        <f>IFERROR(__xludf.DUMMYFUNCTION("""COMPUTED_VALUE"""),154.33)</f>
        <v>154.33</v>
      </c>
      <c r="I825" s="5">
        <f t="shared" si="1"/>
        <v>0.003774910017</v>
      </c>
      <c r="K825" s="5">
        <f t="shared" si="2"/>
        <v>-0.0143702814</v>
      </c>
      <c r="L825" s="5">
        <f t="shared" si="3"/>
        <v>-0.01105366375</v>
      </c>
      <c r="M825" s="5">
        <f t="shared" si="4"/>
        <v>-0.008747489147</v>
      </c>
      <c r="Q825" s="5"/>
    </row>
    <row r="826">
      <c r="A826" s="4">
        <f>IFERROR(__xludf.DUMMYFUNCTION("""COMPUTED_VALUE"""),45482.66666666667)</f>
        <v>45482.66667</v>
      </c>
      <c r="B826" s="1">
        <f>IFERROR(__xludf.DUMMYFUNCTION("""COMPUTED_VALUE"""),228.68)</f>
        <v>228.68</v>
      </c>
      <c r="C826" s="4">
        <f>IFERROR(__xludf.DUMMYFUNCTION("""COMPUTED_VALUE"""),45482.66666666667)</f>
        <v>45482.66667</v>
      </c>
      <c r="D826" s="1">
        <f>IFERROR(__xludf.DUMMYFUNCTION("""COMPUTED_VALUE"""),459.54)</f>
        <v>459.54</v>
      </c>
      <c r="E826" s="4">
        <f>IFERROR(__xludf.DUMMYFUNCTION("""COMPUTED_VALUE"""),45482.66666666667)</f>
        <v>45482.66667</v>
      </c>
      <c r="F826" s="1">
        <f>IFERROR(__xludf.DUMMYFUNCTION("""COMPUTED_VALUE"""),110.94)</f>
        <v>110.94</v>
      </c>
      <c r="G826" s="4">
        <f>IFERROR(__xludf.DUMMYFUNCTION("""COMPUTED_VALUE"""),45482.66666666667)</f>
        <v>45482.66667</v>
      </c>
      <c r="H826" s="1">
        <f>IFERROR(__xludf.DUMMYFUNCTION("""COMPUTED_VALUE"""),152.98)</f>
        <v>152.98</v>
      </c>
      <c r="I826" s="5">
        <f t="shared" si="1"/>
        <v>0.01880356831</v>
      </c>
      <c r="K826" s="5">
        <f t="shared" si="2"/>
        <v>0.01460155808</v>
      </c>
      <c r="L826" s="5">
        <f t="shared" si="3"/>
        <v>0.00883360375</v>
      </c>
      <c r="M826" s="5">
        <f t="shared" si="4"/>
        <v>0.01405412472</v>
      </c>
      <c r="Q826" s="5"/>
    </row>
    <row r="827">
      <c r="A827" s="4">
        <f>IFERROR(__xludf.DUMMYFUNCTION("""COMPUTED_VALUE"""),45483.66666666667)</f>
        <v>45483.66667</v>
      </c>
      <c r="B827" s="1">
        <f>IFERROR(__xludf.DUMMYFUNCTION("""COMPUTED_VALUE"""),232.98)</f>
        <v>232.98</v>
      </c>
      <c r="C827" s="4">
        <f>IFERROR(__xludf.DUMMYFUNCTION("""COMPUTED_VALUE"""),45483.66666666667)</f>
        <v>45483.66667</v>
      </c>
      <c r="D827" s="1">
        <f>IFERROR(__xludf.DUMMYFUNCTION("""COMPUTED_VALUE"""),466.25)</f>
        <v>466.25</v>
      </c>
      <c r="E827" s="4">
        <f>IFERROR(__xludf.DUMMYFUNCTION("""COMPUTED_VALUE"""),45483.66666666667)</f>
        <v>45483.66667</v>
      </c>
      <c r="F827" s="1">
        <f>IFERROR(__xludf.DUMMYFUNCTION("""COMPUTED_VALUE"""),111.92)</f>
        <v>111.92</v>
      </c>
      <c r="G827" s="4">
        <f>IFERROR(__xludf.DUMMYFUNCTION("""COMPUTED_VALUE"""),45483.66666666667)</f>
        <v>45483.66667</v>
      </c>
      <c r="H827" s="1">
        <f>IFERROR(__xludf.DUMMYFUNCTION("""COMPUTED_VALUE"""),155.13)</f>
        <v>155.13</v>
      </c>
      <c r="I827" s="5">
        <f t="shared" si="1"/>
        <v>-0.02322087733</v>
      </c>
      <c r="K827" s="5">
        <f t="shared" si="2"/>
        <v>-0.02477211796</v>
      </c>
      <c r="L827" s="5">
        <f t="shared" si="3"/>
        <v>0.01188348821</v>
      </c>
      <c r="M827" s="5">
        <f t="shared" si="4"/>
        <v>0.000838006833</v>
      </c>
      <c r="Q827" s="5"/>
    </row>
    <row r="828">
      <c r="A828" s="4">
        <f>IFERROR(__xludf.DUMMYFUNCTION("""COMPUTED_VALUE"""),45484.66666666667)</f>
        <v>45484.66667</v>
      </c>
      <c r="B828" s="1">
        <f>IFERROR(__xludf.DUMMYFUNCTION("""COMPUTED_VALUE"""),227.57)</f>
        <v>227.57</v>
      </c>
      <c r="C828" s="4">
        <f>IFERROR(__xludf.DUMMYFUNCTION("""COMPUTED_VALUE"""),45484.66666666667)</f>
        <v>45484.66667</v>
      </c>
      <c r="D828" s="1">
        <f>IFERROR(__xludf.DUMMYFUNCTION("""COMPUTED_VALUE"""),454.7)</f>
        <v>454.7</v>
      </c>
      <c r="E828" s="4">
        <f>IFERROR(__xludf.DUMMYFUNCTION("""COMPUTED_VALUE"""),45484.66666666667)</f>
        <v>45484.66667</v>
      </c>
      <c r="F828" s="1">
        <f>IFERROR(__xludf.DUMMYFUNCTION("""COMPUTED_VALUE"""),113.25)</f>
        <v>113.25</v>
      </c>
      <c r="G828" s="4">
        <f>IFERROR(__xludf.DUMMYFUNCTION("""COMPUTED_VALUE"""),45484.66666666667)</f>
        <v>45484.66667</v>
      </c>
      <c r="H828" s="1">
        <f>IFERROR(__xludf.DUMMYFUNCTION("""COMPUTED_VALUE"""),155.26)</f>
        <v>155.26</v>
      </c>
      <c r="I828" s="5">
        <f t="shared" si="1"/>
        <v>0.01305092938</v>
      </c>
      <c r="K828" s="5">
        <f t="shared" si="2"/>
        <v>-0.002529140092</v>
      </c>
      <c r="L828" s="5">
        <f t="shared" si="3"/>
        <v>0.0001766004415</v>
      </c>
      <c r="M828" s="5">
        <f t="shared" si="4"/>
        <v>0.002125466959</v>
      </c>
      <c r="Q828" s="5"/>
    </row>
    <row r="829">
      <c r="A829" s="4">
        <f>IFERROR(__xludf.DUMMYFUNCTION("""COMPUTED_VALUE"""),45485.66666666667)</f>
        <v>45485.66667</v>
      </c>
      <c r="B829" s="1">
        <f>IFERROR(__xludf.DUMMYFUNCTION("""COMPUTED_VALUE"""),230.54)</f>
        <v>230.54</v>
      </c>
      <c r="C829" s="4">
        <f>IFERROR(__xludf.DUMMYFUNCTION("""COMPUTED_VALUE"""),45485.66666666667)</f>
        <v>45485.66667</v>
      </c>
      <c r="D829" s="1">
        <f>IFERROR(__xludf.DUMMYFUNCTION("""COMPUTED_VALUE"""),453.55)</f>
        <v>453.55</v>
      </c>
      <c r="E829" s="4">
        <f>IFERROR(__xludf.DUMMYFUNCTION("""COMPUTED_VALUE"""),45485.66666666667)</f>
        <v>45485.66667</v>
      </c>
      <c r="F829" s="1">
        <f>IFERROR(__xludf.DUMMYFUNCTION("""COMPUTED_VALUE"""),113.27)</f>
        <v>113.27</v>
      </c>
      <c r="G829" s="4">
        <f>IFERROR(__xludf.DUMMYFUNCTION("""COMPUTED_VALUE"""),45485.66666666667)</f>
        <v>45485.66667</v>
      </c>
      <c r="H829" s="1">
        <f>IFERROR(__xludf.DUMMYFUNCTION("""COMPUTED_VALUE"""),155.59)</f>
        <v>155.59</v>
      </c>
      <c r="I829" s="5">
        <f t="shared" si="1"/>
        <v>0.01674329834</v>
      </c>
      <c r="K829" s="5">
        <f t="shared" si="2"/>
        <v>0.0009039797156</v>
      </c>
      <c r="L829" s="5">
        <f t="shared" si="3"/>
        <v>0.01712721815</v>
      </c>
      <c r="M829" s="5">
        <f t="shared" si="4"/>
        <v>0.01574651327</v>
      </c>
      <c r="Q829" s="5"/>
    </row>
    <row r="830">
      <c r="A830" s="4">
        <f>IFERROR(__xludf.DUMMYFUNCTION("""COMPUTED_VALUE"""),45488.66666666667)</f>
        <v>45488.66667</v>
      </c>
      <c r="B830" s="1">
        <f>IFERROR(__xludf.DUMMYFUNCTION("""COMPUTED_VALUE"""),234.4)</f>
        <v>234.4</v>
      </c>
      <c r="C830" s="4">
        <f>IFERROR(__xludf.DUMMYFUNCTION("""COMPUTED_VALUE"""),45488.66666666667)</f>
        <v>45488.66667</v>
      </c>
      <c r="D830" s="1">
        <f>IFERROR(__xludf.DUMMYFUNCTION("""COMPUTED_VALUE"""),453.96)</f>
        <v>453.96</v>
      </c>
      <c r="E830" s="4">
        <f>IFERROR(__xludf.DUMMYFUNCTION("""COMPUTED_VALUE"""),45488.66666666667)</f>
        <v>45488.66667</v>
      </c>
      <c r="F830" s="1">
        <f>IFERROR(__xludf.DUMMYFUNCTION("""COMPUTED_VALUE"""),115.21)</f>
        <v>115.21</v>
      </c>
      <c r="G830" s="4">
        <f>IFERROR(__xludf.DUMMYFUNCTION("""COMPUTED_VALUE"""),45488.66666666667)</f>
        <v>45488.66667</v>
      </c>
      <c r="H830" s="1">
        <f>IFERROR(__xludf.DUMMYFUNCTION("""COMPUTED_VALUE"""),158.04)</f>
        <v>158.04</v>
      </c>
      <c r="I830" s="5">
        <f t="shared" si="1"/>
        <v>0.001791808874</v>
      </c>
      <c r="K830" s="5">
        <f t="shared" si="2"/>
        <v>-0.009780597409</v>
      </c>
      <c r="L830" s="5">
        <f t="shared" si="3"/>
        <v>0.007204235743</v>
      </c>
      <c r="M830" s="5">
        <f t="shared" si="4"/>
        <v>-0.001708428246</v>
      </c>
      <c r="Q830" s="5"/>
    </row>
    <row r="831">
      <c r="A831" s="4">
        <f>IFERROR(__xludf.DUMMYFUNCTION("""COMPUTED_VALUE"""),45489.66666666667)</f>
        <v>45489.66667</v>
      </c>
      <c r="B831" s="1">
        <f>IFERROR(__xludf.DUMMYFUNCTION("""COMPUTED_VALUE"""),234.82)</f>
        <v>234.82</v>
      </c>
      <c r="C831" s="4">
        <f>IFERROR(__xludf.DUMMYFUNCTION("""COMPUTED_VALUE"""),45489.66666666667)</f>
        <v>45489.66667</v>
      </c>
      <c r="D831" s="1">
        <f>IFERROR(__xludf.DUMMYFUNCTION("""COMPUTED_VALUE"""),449.52)</f>
        <v>449.52</v>
      </c>
      <c r="E831" s="4">
        <f>IFERROR(__xludf.DUMMYFUNCTION("""COMPUTED_VALUE"""),45489.66666666667)</f>
        <v>45489.66667</v>
      </c>
      <c r="F831" s="1">
        <f>IFERROR(__xludf.DUMMYFUNCTION("""COMPUTED_VALUE"""),116.04)</f>
        <v>116.04</v>
      </c>
      <c r="G831" s="4">
        <f>IFERROR(__xludf.DUMMYFUNCTION("""COMPUTED_VALUE"""),45489.66666666667)</f>
        <v>45489.66667</v>
      </c>
      <c r="H831" s="1">
        <f>IFERROR(__xludf.DUMMYFUNCTION("""COMPUTED_VALUE"""),157.77)</f>
        <v>157.77</v>
      </c>
      <c r="I831" s="5">
        <f t="shared" si="1"/>
        <v>-0.02529597138</v>
      </c>
      <c r="K831" s="5">
        <f t="shared" si="2"/>
        <v>-0.01334757074</v>
      </c>
      <c r="L831" s="5">
        <f t="shared" si="3"/>
        <v>0.01378834885</v>
      </c>
      <c r="M831" s="5">
        <f t="shared" si="4"/>
        <v>0.02193065855</v>
      </c>
      <c r="Q831" s="5"/>
    </row>
    <row r="832">
      <c r="A832" s="4">
        <f>IFERROR(__xludf.DUMMYFUNCTION("""COMPUTED_VALUE"""),45490.66666666667)</f>
        <v>45490.66667</v>
      </c>
      <c r="B832" s="1">
        <f>IFERROR(__xludf.DUMMYFUNCTION("""COMPUTED_VALUE"""),228.88)</f>
        <v>228.88</v>
      </c>
      <c r="C832" s="4">
        <f>IFERROR(__xludf.DUMMYFUNCTION("""COMPUTED_VALUE"""),45490.66666666667)</f>
        <v>45490.66667</v>
      </c>
      <c r="D832" s="1">
        <f>IFERROR(__xludf.DUMMYFUNCTION("""COMPUTED_VALUE"""),443.52)</f>
        <v>443.52</v>
      </c>
      <c r="E832" s="4">
        <f>IFERROR(__xludf.DUMMYFUNCTION("""COMPUTED_VALUE"""),45490.66666666667)</f>
        <v>45490.66667</v>
      </c>
      <c r="F832" s="1">
        <f>IFERROR(__xludf.DUMMYFUNCTION("""COMPUTED_VALUE"""),117.64)</f>
        <v>117.64</v>
      </c>
      <c r="G832" s="4">
        <f>IFERROR(__xludf.DUMMYFUNCTION("""COMPUTED_VALUE"""),45490.66666666667)</f>
        <v>45490.66667</v>
      </c>
      <c r="H832" s="1">
        <f>IFERROR(__xludf.DUMMYFUNCTION("""COMPUTED_VALUE"""),161.23)</f>
        <v>161.23</v>
      </c>
      <c r="I832" s="5">
        <f t="shared" si="1"/>
        <v>-0.02053477805</v>
      </c>
      <c r="K832" s="5">
        <f t="shared" si="2"/>
        <v>-0.007102272727</v>
      </c>
      <c r="L832" s="5">
        <f t="shared" si="3"/>
        <v>0.009860591635</v>
      </c>
      <c r="M832" s="5">
        <f t="shared" si="4"/>
        <v>0.004589716554</v>
      </c>
      <c r="Q832" s="5"/>
    </row>
    <row r="833">
      <c r="A833" s="4">
        <f>IFERROR(__xludf.DUMMYFUNCTION("""COMPUTED_VALUE"""),45491.66666666667)</f>
        <v>45491.66667</v>
      </c>
      <c r="B833" s="1">
        <f>IFERROR(__xludf.DUMMYFUNCTION("""COMPUTED_VALUE"""),224.18)</f>
        <v>224.18</v>
      </c>
      <c r="C833" s="4">
        <f>IFERROR(__xludf.DUMMYFUNCTION("""COMPUTED_VALUE"""),45491.66666666667)</f>
        <v>45491.66667</v>
      </c>
      <c r="D833" s="1">
        <f>IFERROR(__xludf.DUMMYFUNCTION("""COMPUTED_VALUE"""),440.37)</f>
        <v>440.37</v>
      </c>
      <c r="E833" s="4">
        <f>IFERROR(__xludf.DUMMYFUNCTION("""COMPUTED_VALUE"""),45491.66666666667)</f>
        <v>45491.66667</v>
      </c>
      <c r="F833" s="1">
        <f>IFERROR(__xludf.DUMMYFUNCTION("""COMPUTED_VALUE"""),118.8)</f>
        <v>118.8</v>
      </c>
      <c r="G833" s="4">
        <f>IFERROR(__xludf.DUMMYFUNCTION("""COMPUTED_VALUE"""),45491.66666666667)</f>
        <v>45491.66667</v>
      </c>
      <c r="H833" s="1">
        <f>IFERROR(__xludf.DUMMYFUNCTION("""COMPUTED_VALUE"""),161.97)</f>
        <v>161.97</v>
      </c>
      <c r="I833" s="5">
        <f t="shared" si="1"/>
        <v>0.0005798911589</v>
      </c>
      <c r="K833" s="5">
        <f t="shared" si="2"/>
        <v>-0.007402865772</v>
      </c>
      <c r="L833" s="5">
        <f t="shared" si="3"/>
        <v>-0.02297979798</v>
      </c>
      <c r="M833" s="5">
        <f t="shared" si="4"/>
        <v>-0.0174106316</v>
      </c>
      <c r="Q833" s="5"/>
    </row>
    <row r="834">
      <c r="A834" s="4">
        <f>IFERROR(__xludf.DUMMYFUNCTION("""COMPUTED_VALUE"""),45492.66666666667)</f>
        <v>45492.66667</v>
      </c>
      <c r="B834" s="1">
        <f>IFERROR(__xludf.DUMMYFUNCTION("""COMPUTED_VALUE"""),224.31)</f>
        <v>224.31</v>
      </c>
      <c r="C834" s="4">
        <f>IFERROR(__xludf.DUMMYFUNCTION("""COMPUTED_VALUE"""),45492.66666666667)</f>
        <v>45492.66667</v>
      </c>
      <c r="D834" s="1">
        <f>IFERROR(__xludf.DUMMYFUNCTION("""COMPUTED_VALUE"""),437.11)</f>
        <v>437.11</v>
      </c>
      <c r="E834" s="4">
        <f>IFERROR(__xludf.DUMMYFUNCTION("""COMPUTED_VALUE"""),45492.66666666667)</f>
        <v>45492.66667</v>
      </c>
      <c r="F834" s="1">
        <f>IFERROR(__xludf.DUMMYFUNCTION("""COMPUTED_VALUE"""),116.07)</f>
        <v>116.07</v>
      </c>
      <c r="G834" s="4">
        <f>IFERROR(__xludf.DUMMYFUNCTION("""COMPUTED_VALUE"""),45492.66666666667)</f>
        <v>45492.66667</v>
      </c>
      <c r="H834" s="1">
        <f>IFERROR(__xludf.DUMMYFUNCTION("""COMPUTED_VALUE"""),159.15)</f>
        <v>159.15</v>
      </c>
      <c r="I834" s="5">
        <f t="shared" si="1"/>
        <v>-0.0015603406</v>
      </c>
      <c r="K834" s="5">
        <f t="shared" si="2"/>
        <v>0.01333760381</v>
      </c>
      <c r="L834" s="5">
        <f t="shared" si="3"/>
        <v>-0.006892392522</v>
      </c>
      <c r="M834" s="5">
        <f t="shared" si="4"/>
        <v>-0.01357210179</v>
      </c>
      <c r="Q834" s="5"/>
    </row>
    <row r="835">
      <c r="A835" s="4">
        <f>IFERROR(__xludf.DUMMYFUNCTION("""COMPUTED_VALUE"""),45495.66666666667)</f>
        <v>45495.66667</v>
      </c>
      <c r="B835" s="1">
        <f>IFERROR(__xludf.DUMMYFUNCTION("""COMPUTED_VALUE"""),223.96)</f>
        <v>223.96</v>
      </c>
      <c r="C835" s="4">
        <f>IFERROR(__xludf.DUMMYFUNCTION("""COMPUTED_VALUE"""),45495.66666666667)</f>
        <v>45495.66667</v>
      </c>
      <c r="D835" s="1">
        <f>IFERROR(__xludf.DUMMYFUNCTION("""COMPUTED_VALUE"""),442.94)</f>
        <v>442.94</v>
      </c>
      <c r="E835" s="4">
        <f>IFERROR(__xludf.DUMMYFUNCTION("""COMPUTED_VALUE"""),45495.66666666667)</f>
        <v>45495.66667</v>
      </c>
      <c r="F835" s="1">
        <f>IFERROR(__xludf.DUMMYFUNCTION("""COMPUTED_VALUE"""),115.27)</f>
        <v>115.27</v>
      </c>
      <c r="G835" s="4">
        <f>IFERROR(__xludf.DUMMYFUNCTION("""COMPUTED_VALUE"""),45495.66666666667)</f>
        <v>45495.66667</v>
      </c>
      <c r="H835" s="1">
        <f>IFERROR(__xludf.DUMMYFUNCTION("""COMPUTED_VALUE"""),156.99)</f>
        <v>156.99</v>
      </c>
      <c r="I835" s="5">
        <f t="shared" si="1"/>
        <v>0.004688337203</v>
      </c>
      <c r="K835" s="5">
        <f t="shared" si="2"/>
        <v>0.004312096446</v>
      </c>
      <c r="L835" s="5">
        <f t="shared" si="3"/>
        <v>-0.01613602845</v>
      </c>
      <c r="M835" s="5">
        <f t="shared" si="4"/>
        <v>-0.01847251417</v>
      </c>
      <c r="Q835" s="5"/>
    </row>
    <row r="836">
      <c r="A836" s="4">
        <f>IFERROR(__xludf.DUMMYFUNCTION("""COMPUTED_VALUE"""),45496.66666666667)</f>
        <v>45496.66667</v>
      </c>
      <c r="B836" s="1">
        <f>IFERROR(__xludf.DUMMYFUNCTION("""COMPUTED_VALUE"""),225.01)</f>
        <v>225.01</v>
      </c>
      <c r="C836" s="4">
        <f>IFERROR(__xludf.DUMMYFUNCTION("""COMPUTED_VALUE"""),45496.66666666667)</f>
        <v>45496.66667</v>
      </c>
      <c r="D836" s="1">
        <f>IFERROR(__xludf.DUMMYFUNCTION("""COMPUTED_VALUE"""),444.85)</f>
        <v>444.85</v>
      </c>
      <c r="E836" s="4">
        <f>IFERROR(__xludf.DUMMYFUNCTION("""COMPUTED_VALUE"""),45496.66666666667)</f>
        <v>45496.66667</v>
      </c>
      <c r="F836" s="1">
        <f>IFERROR(__xludf.DUMMYFUNCTION("""COMPUTED_VALUE"""),113.41)</f>
        <v>113.41</v>
      </c>
      <c r="G836" s="4">
        <f>IFERROR(__xludf.DUMMYFUNCTION("""COMPUTED_VALUE"""),45496.66666666667)</f>
        <v>45496.66667</v>
      </c>
      <c r="H836" s="1">
        <f>IFERROR(__xludf.DUMMYFUNCTION("""COMPUTED_VALUE"""),154.09)</f>
        <v>154.09</v>
      </c>
      <c r="I836" s="5">
        <f t="shared" si="1"/>
        <v>-0.02875427759</v>
      </c>
      <c r="K836" s="5">
        <f t="shared" si="2"/>
        <v>-0.03585478251</v>
      </c>
      <c r="L836" s="5">
        <f t="shared" si="3"/>
        <v>0.01410810334</v>
      </c>
      <c r="M836" s="5">
        <f t="shared" si="4"/>
        <v>0.006359919528</v>
      </c>
      <c r="Q836" s="5"/>
    </row>
    <row r="837">
      <c r="A837" s="4">
        <f>IFERROR(__xludf.DUMMYFUNCTION("""COMPUTED_VALUE"""),45497.66666666667)</f>
        <v>45497.66667</v>
      </c>
      <c r="B837" s="1">
        <f>IFERROR(__xludf.DUMMYFUNCTION("""COMPUTED_VALUE"""),218.54)</f>
        <v>218.54</v>
      </c>
      <c r="C837" s="4">
        <f>IFERROR(__xludf.DUMMYFUNCTION("""COMPUTED_VALUE"""),45497.66666666667)</f>
        <v>45497.66667</v>
      </c>
      <c r="D837" s="1">
        <f>IFERROR(__xludf.DUMMYFUNCTION("""COMPUTED_VALUE"""),428.9)</f>
        <v>428.9</v>
      </c>
      <c r="E837" s="4">
        <f>IFERROR(__xludf.DUMMYFUNCTION("""COMPUTED_VALUE"""),45497.66666666667)</f>
        <v>45497.66667</v>
      </c>
      <c r="F837" s="1">
        <f>IFERROR(__xludf.DUMMYFUNCTION("""COMPUTED_VALUE"""),115.01)</f>
        <v>115.01</v>
      </c>
      <c r="G837" s="4">
        <f>IFERROR(__xludf.DUMMYFUNCTION("""COMPUTED_VALUE"""),45497.66666666667)</f>
        <v>45497.66667</v>
      </c>
      <c r="H837" s="1">
        <f>IFERROR(__xludf.DUMMYFUNCTION("""COMPUTED_VALUE"""),155.07)</f>
        <v>155.07</v>
      </c>
      <c r="I837" s="5">
        <f t="shared" si="1"/>
        <v>-0.004804612428</v>
      </c>
      <c r="K837" s="5">
        <f t="shared" si="2"/>
        <v>-0.02448123106</v>
      </c>
      <c r="L837" s="5">
        <f t="shared" si="3"/>
        <v>0.02104164855</v>
      </c>
      <c r="M837" s="5">
        <f t="shared" si="4"/>
        <v>0.01592829045</v>
      </c>
      <c r="Q837" s="5"/>
    </row>
    <row r="838">
      <c r="A838" s="4">
        <f>IFERROR(__xludf.DUMMYFUNCTION("""COMPUTED_VALUE"""),45498.66666666667)</f>
        <v>45498.66667</v>
      </c>
      <c r="B838" s="1">
        <f>IFERROR(__xludf.DUMMYFUNCTION("""COMPUTED_VALUE"""),217.49)</f>
        <v>217.49</v>
      </c>
      <c r="C838" s="4">
        <f>IFERROR(__xludf.DUMMYFUNCTION("""COMPUTED_VALUE"""),45498.66666666667)</f>
        <v>45498.66667</v>
      </c>
      <c r="D838" s="1">
        <f>IFERROR(__xludf.DUMMYFUNCTION("""COMPUTED_VALUE"""),418.4)</f>
        <v>418.4</v>
      </c>
      <c r="E838" s="4">
        <f>IFERROR(__xludf.DUMMYFUNCTION("""COMPUTED_VALUE"""),45498.66666666667)</f>
        <v>45498.66667</v>
      </c>
      <c r="F838" s="1">
        <f>IFERROR(__xludf.DUMMYFUNCTION("""COMPUTED_VALUE"""),117.43)</f>
        <v>117.43</v>
      </c>
      <c r="G838" s="4">
        <f>IFERROR(__xludf.DUMMYFUNCTION("""COMPUTED_VALUE"""),45498.66666666667)</f>
        <v>45498.66667</v>
      </c>
      <c r="H838" s="1">
        <f>IFERROR(__xludf.DUMMYFUNCTION("""COMPUTED_VALUE"""),157.54)</f>
        <v>157.54</v>
      </c>
      <c r="I838" s="5">
        <f t="shared" si="1"/>
        <v>0.002161018897</v>
      </c>
      <c r="K838" s="5">
        <f t="shared" si="2"/>
        <v>0.01641969407</v>
      </c>
      <c r="L838" s="5">
        <f t="shared" si="3"/>
        <v>-0.0008515711488</v>
      </c>
      <c r="M838" s="5">
        <f t="shared" si="4"/>
        <v>0.001904278279</v>
      </c>
      <c r="Q838" s="5"/>
    </row>
    <row r="839">
      <c r="A839" s="4">
        <f>IFERROR(__xludf.DUMMYFUNCTION("""COMPUTED_VALUE"""),45499.66666666667)</f>
        <v>45499.66667</v>
      </c>
      <c r="B839" s="1">
        <f>IFERROR(__xludf.DUMMYFUNCTION("""COMPUTED_VALUE"""),217.96)</f>
        <v>217.96</v>
      </c>
      <c r="C839" s="4">
        <f>IFERROR(__xludf.DUMMYFUNCTION("""COMPUTED_VALUE"""),45499.66666666667)</f>
        <v>45499.66667</v>
      </c>
      <c r="D839" s="1">
        <f>IFERROR(__xludf.DUMMYFUNCTION("""COMPUTED_VALUE"""),425.27)</f>
        <v>425.27</v>
      </c>
      <c r="E839" s="4">
        <f>IFERROR(__xludf.DUMMYFUNCTION("""COMPUTED_VALUE"""),45499.66666666667)</f>
        <v>45499.66667</v>
      </c>
      <c r="F839" s="1">
        <f>IFERROR(__xludf.DUMMYFUNCTION("""COMPUTED_VALUE"""),117.33)</f>
        <v>117.33</v>
      </c>
      <c r="G839" s="4">
        <f>IFERROR(__xludf.DUMMYFUNCTION("""COMPUTED_VALUE"""),45499.66666666667)</f>
        <v>45499.66667</v>
      </c>
      <c r="H839" s="1">
        <f>IFERROR(__xludf.DUMMYFUNCTION("""COMPUTED_VALUE"""),157.84)</f>
        <v>157.84</v>
      </c>
      <c r="I839" s="5">
        <f t="shared" si="1"/>
        <v>0.001284639383</v>
      </c>
      <c r="K839" s="5">
        <f t="shared" si="2"/>
        <v>0.003433113081</v>
      </c>
      <c r="L839" s="5">
        <f t="shared" si="3"/>
        <v>-0.01048325237</v>
      </c>
      <c r="M839" s="5">
        <f t="shared" si="4"/>
        <v>-0.007856056766</v>
      </c>
      <c r="Q839" s="5"/>
    </row>
    <row r="840">
      <c r="A840" s="4">
        <f>IFERROR(__xludf.DUMMYFUNCTION("""COMPUTED_VALUE"""),45502.66666666667)</f>
        <v>45502.66667</v>
      </c>
      <c r="B840" s="1">
        <f>IFERROR(__xludf.DUMMYFUNCTION("""COMPUTED_VALUE"""),218.24)</f>
        <v>218.24</v>
      </c>
      <c r="C840" s="4">
        <f>IFERROR(__xludf.DUMMYFUNCTION("""COMPUTED_VALUE"""),45502.66666666667)</f>
        <v>45502.66667</v>
      </c>
      <c r="D840" s="1">
        <f>IFERROR(__xludf.DUMMYFUNCTION("""COMPUTED_VALUE"""),426.73)</f>
        <v>426.73</v>
      </c>
      <c r="E840" s="4">
        <f>IFERROR(__xludf.DUMMYFUNCTION("""COMPUTED_VALUE"""),45502.66666666667)</f>
        <v>45502.66667</v>
      </c>
      <c r="F840" s="1">
        <f>IFERROR(__xludf.DUMMYFUNCTION("""COMPUTED_VALUE"""),116.1)</f>
        <v>116.1</v>
      </c>
      <c r="G840" s="4">
        <f>IFERROR(__xludf.DUMMYFUNCTION("""COMPUTED_VALUE"""),45502.66666666667)</f>
        <v>45502.66667</v>
      </c>
      <c r="H840" s="1">
        <f>IFERROR(__xludf.DUMMYFUNCTION("""COMPUTED_VALUE"""),156.6)</f>
        <v>156.6</v>
      </c>
      <c r="I840" s="5">
        <f t="shared" si="1"/>
        <v>0.002565982405</v>
      </c>
      <c r="K840" s="5">
        <f t="shared" si="2"/>
        <v>-0.008928362196</v>
      </c>
      <c r="L840" s="5">
        <f t="shared" si="3"/>
        <v>0.01782945736</v>
      </c>
      <c r="M840" s="5">
        <f t="shared" si="4"/>
        <v>0.01896551724</v>
      </c>
      <c r="Q840" s="5"/>
    </row>
    <row r="841">
      <c r="A841" s="4">
        <f>IFERROR(__xludf.DUMMYFUNCTION("""COMPUTED_VALUE"""),45503.66666666667)</f>
        <v>45503.66667</v>
      </c>
      <c r="B841" s="1">
        <f>IFERROR(__xludf.DUMMYFUNCTION("""COMPUTED_VALUE"""),218.8)</f>
        <v>218.8</v>
      </c>
      <c r="C841" s="4">
        <f>IFERROR(__xludf.DUMMYFUNCTION("""COMPUTED_VALUE"""),45503.66666666667)</f>
        <v>45503.66667</v>
      </c>
      <c r="D841" s="1">
        <f>IFERROR(__xludf.DUMMYFUNCTION("""COMPUTED_VALUE"""),422.92)</f>
        <v>422.92</v>
      </c>
      <c r="E841" s="4">
        <f>IFERROR(__xludf.DUMMYFUNCTION("""COMPUTED_VALUE"""),45503.66666666667)</f>
        <v>45503.66667</v>
      </c>
      <c r="F841" s="1">
        <f>IFERROR(__xludf.DUMMYFUNCTION("""COMPUTED_VALUE"""),118.17)</f>
        <v>118.17</v>
      </c>
      <c r="G841" s="4">
        <f>IFERROR(__xludf.DUMMYFUNCTION("""COMPUTED_VALUE"""),45503.66666666667)</f>
        <v>45503.66667</v>
      </c>
      <c r="H841" s="1">
        <f>IFERROR(__xludf.DUMMYFUNCTION("""COMPUTED_VALUE"""),159.57)</f>
        <v>159.57</v>
      </c>
      <c r="I841" s="5">
        <f t="shared" si="1"/>
        <v>0.01499085923</v>
      </c>
      <c r="K841" s="5">
        <f t="shared" si="2"/>
        <v>-0.01080582616</v>
      </c>
      <c r="L841" s="5">
        <f t="shared" si="3"/>
        <v>0.003554201574</v>
      </c>
      <c r="M841" s="5">
        <f t="shared" si="4"/>
        <v>0.005640157924</v>
      </c>
      <c r="Q841" s="5"/>
    </row>
    <row r="842">
      <c r="A842" s="4">
        <f>IFERROR(__xludf.DUMMYFUNCTION("""COMPUTED_VALUE"""),45504.66666666667)</f>
        <v>45504.66667</v>
      </c>
      <c r="B842" s="1">
        <f>IFERROR(__xludf.DUMMYFUNCTION("""COMPUTED_VALUE"""),222.08)</f>
        <v>222.08</v>
      </c>
      <c r="C842" s="4">
        <f>IFERROR(__xludf.DUMMYFUNCTION("""COMPUTED_VALUE"""),45504.66666666667)</f>
        <v>45504.66667</v>
      </c>
      <c r="D842" s="1">
        <f>IFERROR(__xludf.DUMMYFUNCTION("""COMPUTED_VALUE"""),418.35)</f>
        <v>418.35</v>
      </c>
      <c r="E842" s="4">
        <f>IFERROR(__xludf.DUMMYFUNCTION("""COMPUTED_VALUE"""),45504.66666666667)</f>
        <v>45504.66667</v>
      </c>
      <c r="F842" s="1">
        <f>IFERROR(__xludf.DUMMYFUNCTION("""COMPUTED_VALUE"""),118.59)</f>
        <v>118.59</v>
      </c>
      <c r="G842" s="4">
        <f>IFERROR(__xludf.DUMMYFUNCTION("""COMPUTED_VALUE"""),45504.66666666667)</f>
        <v>45504.66667</v>
      </c>
      <c r="H842" s="1">
        <f>IFERROR(__xludf.DUMMYFUNCTION("""COMPUTED_VALUE"""),160.47)</f>
        <v>160.47</v>
      </c>
      <c r="I842" s="5">
        <f t="shared" si="1"/>
        <v>-0.01675072046</v>
      </c>
      <c r="K842" s="5">
        <f t="shared" si="2"/>
        <v>-0.002964025338</v>
      </c>
      <c r="L842" s="5">
        <f t="shared" si="3"/>
        <v>-0.01382915929</v>
      </c>
      <c r="M842" s="5">
        <f t="shared" si="4"/>
        <v>-0.04891880102</v>
      </c>
      <c r="Q842" s="5"/>
    </row>
    <row r="843">
      <c r="A843" s="4">
        <f>IFERROR(__xludf.DUMMYFUNCTION("""COMPUTED_VALUE"""),45505.66666666667)</f>
        <v>45505.66667</v>
      </c>
      <c r="B843" s="1">
        <f>IFERROR(__xludf.DUMMYFUNCTION("""COMPUTED_VALUE"""),218.36)</f>
        <v>218.36</v>
      </c>
      <c r="C843" s="4">
        <f>IFERROR(__xludf.DUMMYFUNCTION("""COMPUTED_VALUE"""),45505.66666666667)</f>
        <v>45505.66667</v>
      </c>
      <c r="D843" s="1">
        <f>IFERROR(__xludf.DUMMYFUNCTION("""COMPUTED_VALUE"""),417.11)</f>
        <v>417.11</v>
      </c>
      <c r="E843" s="4">
        <f>IFERROR(__xludf.DUMMYFUNCTION("""COMPUTED_VALUE"""),45505.66666666667)</f>
        <v>45505.66667</v>
      </c>
      <c r="F843" s="1">
        <f>IFERROR(__xludf.DUMMYFUNCTION("""COMPUTED_VALUE"""),116.95)</f>
        <v>116.95</v>
      </c>
      <c r="G843" s="4">
        <f>IFERROR(__xludf.DUMMYFUNCTION("""COMPUTED_VALUE"""),45505.66666666667)</f>
        <v>45505.66667</v>
      </c>
      <c r="H843" s="1">
        <f>IFERROR(__xludf.DUMMYFUNCTION("""COMPUTED_VALUE"""),152.62)</f>
        <v>152.62</v>
      </c>
      <c r="I843" s="5">
        <f t="shared" si="1"/>
        <v>0.006869389998</v>
      </c>
      <c r="K843" s="5">
        <f t="shared" si="2"/>
        <v>-0.02066601136</v>
      </c>
      <c r="L843" s="5">
        <f t="shared" si="3"/>
        <v>-0.0005985463873</v>
      </c>
      <c r="M843" s="5">
        <f t="shared" si="4"/>
        <v>-0.0266675403</v>
      </c>
      <c r="Q843" s="5"/>
    </row>
    <row r="844">
      <c r="A844" s="4">
        <f>IFERROR(__xludf.DUMMYFUNCTION("""COMPUTED_VALUE"""),45506.66666666667)</f>
        <v>45506.66667</v>
      </c>
      <c r="B844" s="1">
        <f>IFERROR(__xludf.DUMMYFUNCTION("""COMPUTED_VALUE"""),219.86)</f>
        <v>219.86</v>
      </c>
      <c r="C844" s="4">
        <f>IFERROR(__xludf.DUMMYFUNCTION("""COMPUTED_VALUE"""),45506.66666666667)</f>
        <v>45506.66667</v>
      </c>
      <c r="D844" s="1">
        <f>IFERROR(__xludf.DUMMYFUNCTION("""COMPUTED_VALUE"""),408.49)</f>
        <v>408.49</v>
      </c>
      <c r="E844" s="4">
        <f>IFERROR(__xludf.DUMMYFUNCTION("""COMPUTED_VALUE"""),45506.66666666667)</f>
        <v>45506.66667</v>
      </c>
      <c r="F844" s="1">
        <f>IFERROR(__xludf.DUMMYFUNCTION("""COMPUTED_VALUE"""),116.88)</f>
        <v>116.88</v>
      </c>
      <c r="G844" s="4">
        <f>IFERROR(__xludf.DUMMYFUNCTION("""COMPUTED_VALUE"""),45506.66666666667)</f>
        <v>45506.66667</v>
      </c>
      <c r="H844" s="1">
        <f>IFERROR(__xludf.DUMMYFUNCTION("""COMPUTED_VALUE"""),148.55)</f>
        <v>148.55</v>
      </c>
      <c r="I844" s="5">
        <f t="shared" si="1"/>
        <v>-0.04816701537</v>
      </c>
      <c r="K844" s="5">
        <f t="shared" si="2"/>
        <v>-0.03265685819</v>
      </c>
      <c r="L844" s="5">
        <f t="shared" si="3"/>
        <v>-0.01805270363</v>
      </c>
      <c r="M844" s="5">
        <f t="shared" si="4"/>
        <v>-0.0261864692</v>
      </c>
      <c r="Q844" s="5"/>
    </row>
    <row r="845">
      <c r="A845" s="4">
        <f>IFERROR(__xludf.DUMMYFUNCTION("""COMPUTED_VALUE"""),45509.66666666667)</f>
        <v>45509.66667</v>
      </c>
      <c r="B845" s="1">
        <f>IFERROR(__xludf.DUMMYFUNCTION("""COMPUTED_VALUE"""),209.27)</f>
        <v>209.27</v>
      </c>
      <c r="C845" s="4">
        <f>IFERROR(__xludf.DUMMYFUNCTION("""COMPUTED_VALUE"""),45509.66666666667)</f>
        <v>45509.66667</v>
      </c>
      <c r="D845" s="1">
        <f>IFERROR(__xludf.DUMMYFUNCTION("""COMPUTED_VALUE"""),395.15)</f>
        <v>395.15</v>
      </c>
      <c r="E845" s="4">
        <f>IFERROR(__xludf.DUMMYFUNCTION("""COMPUTED_VALUE"""),45509.66666666667)</f>
        <v>45509.66667</v>
      </c>
      <c r="F845" s="1">
        <f>IFERROR(__xludf.DUMMYFUNCTION("""COMPUTED_VALUE"""),114.77)</f>
        <v>114.77</v>
      </c>
      <c r="G845" s="4">
        <f>IFERROR(__xludf.DUMMYFUNCTION("""COMPUTED_VALUE"""),45509.66666666667)</f>
        <v>45509.66667</v>
      </c>
      <c r="H845" s="1">
        <f>IFERROR(__xludf.DUMMYFUNCTION("""COMPUTED_VALUE"""),144.66)</f>
        <v>144.66</v>
      </c>
      <c r="I845" s="5">
        <f t="shared" si="1"/>
        <v>-0.009748172218</v>
      </c>
      <c r="K845" s="5">
        <f t="shared" si="2"/>
        <v>0.01128685309</v>
      </c>
      <c r="L845" s="5">
        <f t="shared" si="3"/>
        <v>-0.005314977782</v>
      </c>
      <c r="M845" s="5">
        <f t="shared" si="4"/>
        <v>-0.009885248168</v>
      </c>
      <c r="Q845" s="5"/>
    </row>
    <row r="846">
      <c r="A846" s="4">
        <f>IFERROR(__xludf.DUMMYFUNCTION("""COMPUTED_VALUE"""),45510.66666666667)</f>
        <v>45510.66667</v>
      </c>
      <c r="B846" s="1">
        <f>IFERROR(__xludf.DUMMYFUNCTION("""COMPUTED_VALUE"""),207.23)</f>
        <v>207.23</v>
      </c>
      <c r="C846" s="4">
        <f>IFERROR(__xludf.DUMMYFUNCTION("""COMPUTED_VALUE"""),45510.66666666667)</f>
        <v>45510.66667</v>
      </c>
      <c r="D846" s="1">
        <f>IFERROR(__xludf.DUMMYFUNCTION("""COMPUTED_VALUE"""),399.61)</f>
        <v>399.61</v>
      </c>
      <c r="E846" s="4">
        <f>IFERROR(__xludf.DUMMYFUNCTION("""COMPUTED_VALUE"""),45510.66666666667)</f>
        <v>45510.66667</v>
      </c>
      <c r="F846" s="1">
        <f>IFERROR(__xludf.DUMMYFUNCTION("""COMPUTED_VALUE"""),114.16)</f>
        <v>114.16</v>
      </c>
      <c r="G846" s="4">
        <f>IFERROR(__xludf.DUMMYFUNCTION("""COMPUTED_VALUE"""),45510.66666666667)</f>
        <v>45510.66667</v>
      </c>
      <c r="H846" s="1">
        <f>IFERROR(__xludf.DUMMYFUNCTION("""COMPUTED_VALUE"""),143.23)</f>
        <v>143.23</v>
      </c>
      <c r="I846" s="5">
        <f t="shared" si="1"/>
        <v>0.01249819042</v>
      </c>
      <c r="K846" s="5">
        <f t="shared" si="2"/>
        <v>-0.002952879057</v>
      </c>
      <c r="L846" s="5">
        <f t="shared" si="3"/>
        <v>0.01331464611</v>
      </c>
      <c r="M846" s="5">
        <f t="shared" si="4"/>
        <v>-0.0057250576</v>
      </c>
      <c r="Q846" s="5"/>
    </row>
    <row r="847">
      <c r="A847" s="4">
        <f>IFERROR(__xludf.DUMMYFUNCTION("""COMPUTED_VALUE"""),45511.66666666667)</f>
        <v>45511.66667</v>
      </c>
      <c r="B847" s="1">
        <f>IFERROR(__xludf.DUMMYFUNCTION("""COMPUTED_VALUE"""),209.82)</f>
        <v>209.82</v>
      </c>
      <c r="C847" s="4">
        <f>IFERROR(__xludf.DUMMYFUNCTION("""COMPUTED_VALUE"""),45511.66666666667)</f>
        <v>45511.66667</v>
      </c>
      <c r="D847" s="1">
        <f>IFERROR(__xludf.DUMMYFUNCTION("""COMPUTED_VALUE"""),398.43)</f>
        <v>398.43</v>
      </c>
      <c r="E847" s="4">
        <f>IFERROR(__xludf.DUMMYFUNCTION("""COMPUTED_VALUE"""),45511.66666666667)</f>
        <v>45511.66667</v>
      </c>
      <c r="F847" s="1">
        <f>IFERROR(__xludf.DUMMYFUNCTION("""COMPUTED_VALUE"""),115.68)</f>
        <v>115.68</v>
      </c>
      <c r="G847" s="4">
        <f>IFERROR(__xludf.DUMMYFUNCTION("""COMPUTED_VALUE"""),45511.66666666667)</f>
        <v>45511.66667</v>
      </c>
      <c r="H847" s="1">
        <f>IFERROR(__xludf.DUMMYFUNCTION("""COMPUTED_VALUE"""),142.41)</f>
        <v>142.41</v>
      </c>
      <c r="I847" s="5">
        <f t="shared" si="1"/>
        <v>0.01663330474</v>
      </c>
      <c r="K847" s="5">
        <f t="shared" si="2"/>
        <v>0.01069196597</v>
      </c>
      <c r="L847" s="5">
        <f t="shared" si="3"/>
        <v>0.019104426</v>
      </c>
      <c r="M847" s="5">
        <f t="shared" si="4"/>
        <v>0.01460571589</v>
      </c>
      <c r="Q847" s="5"/>
    </row>
    <row r="848">
      <c r="A848" s="4">
        <f>IFERROR(__xludf.DUMMYFUNCTION("""COMPUTED_VALUE"""),45512.66666666667)</f>
        <v>45512.66667</v>
      </c>
      <c r="B848" s="1">
        <f>IFERROR(__xludf.DUMMYFUNCTION("""COMPUTED_VALUE"""),213.31)</f>
        <v>213.31</v>
      </c>
      <c r="C848" s="4">
        <f>IFERROR(__xludf.DUMMYFUNCTION("""COMPUTED_VALUE"""),45512.66666666667)</f>
        <v>45512.66667</v>
      </c>
      <c r="D848" s="1">
        <f>IFERROR(__xludf.DUMMYFUNCTION("""COMPUTED_VALUE"""),402.69)</f>
        <v>402.69</v>
      </c>
      <c r="E848" s="4">
        <f>IFERROR(__xludf.DUMMYFUNCTION("""COMPUTED_VALUE"""),45512.66666666667)</f>
        <v>45512.66667</v>
      </c>
      <c r="F848" s="1">
        <f>IFERROR(__xludf.DUMMYFUNCTION("""COMPUTED_VALUE"""),117.89)</f>
        <v>117.89</v>
      </c>
      <c r="G848" s="4">
        <f>IFERROR(__xludf.DUMMYFUNCTION("""COMPUTED_VALUE"""),45512.66666666667)</f>
        <v>45512.66667</v>
      </c>
      <c r="H848" s="1">
        <f>IFERROR(__xludf.DUMMYFUNCTION("""COMPUTED_VALUE"""),144.49)</f>
        <v>144.49</v>
      </c>
      <c r="I848" s="5">
        <f t="shared" si="1"/>
        <v>0.01373587736</v>
      </c>
      <c r="K848" s="5">
        <f t="shared" si="2"/>
        <v>0.008269388363</v>
      </c>
      <c r="L848" s="5">
        <f t="shared" si="3"/>
        <v>0.008143184324</v>
      </c>
      <c r="M848" s="5">
        <f t="shared" si="4"/>
        <v>0.00346044709</v>
      </c>
      <c r="Q848" s="5"/>
    </row>
    <row r="849">
      <c r="A849" s="4">
        <f>IFERROR(__xludf.DUMMYFUNCTION("""COMPUTED_VALUE"""),45513.66666666667)</f>
        <v>45513.66667</v>
      </c>
      <c r="B849" s="1">
        <f>IFERROR(__xludf.DUMMYFUNCTION("""COMPUTED_VALUE"""),216.24)</f>
        <v>216.24</v>
      </c>
      <c r="C849" s="4">
        <f>IFERROR(__xludf.DUMMYFUNCTION("""COMPUTED_VALUE"""),45513.66666666667)</f>
        <v>45513.66667</v>
      </c>
      <c r="D849" s="1">
        <f>IFERROR(__xludf.DUMMYFUNCTION("""COMPUTED_VALUE"""),406.02)</f>
        <v>406.02</v>
      </c>
      <c r="E849" s="4">
        <f>IFERROR(__xludf.DUMMYFUNCTION("""COMPUTED_VALUE"""),45513.66666666667)</f>
        <v>45513.66667</v>
      </c>
      <c r="F849" s="1">
        <f>IFERROR(__xludf.DUMMYFUNCTION("""COMPUTED_VALUE"""),118.85)</f>
        <v>118.85</v>
      </c>
      <c r="G849" s="4">
        <f>IFERROR(__xludf.DUMMYFUNCTION("""COMPUTED_VALUE"""),45513.66666666667)</f>
        <v>45513.66667</v>
      </c>
      <c r="H849" s="1">
        <f>IFERROR(__xludf.DUMMYFUNCTION("""COMPUTED_VALUE"""),144.99)</f>
        <v>144.99</v>
      </c>
      <c r="I849" s="5">
        <f t="shared" si="1"/>
        <v>0.005965593785</v>
      </c>
      <c r="K849" s="5">
        <f t="shared" si="2"/>
        <v>0.00194571696</v>
      </c>
      <c r="L849" s="5">
        <f t="shared" si="3"/>
        <v>0.001262095078</v>
      </c>
      <c r="M849" s="5">
        <f t="shared" si="4"/>
        <v>0.0002069108214</v>
      </c>
      <c r="Q849" s="5"/>
    </row>
    <row r="850">
      <c r="A850" s="4">
        <f>IFERROR(__xludf.DUMMYFUNCTION("""COMPUTED_VALUE"""),45516.66666666667)</f>
        <v>45516.66667</v>
      </c>
      <c r="B850" s="1">
        <f>IFERROR(__xludf.DUMMYFUNCTION("""COMPUTED_VALUE"""),217.53)</f>
        <v>217.53</v>
      </c>
      <c r="C850" s="4">
        <f>IFERROR(__xludf.DUMMYFUNCTION("""COMPUTED_VALUE"""),45516.66666666667)</f>
        <v>45516.66667</v>
      </c>
      <c r="D850" s="1">
        <f>IFERROR(__xludf.DUMMYFUNCTION("""COMPUTED_VALUE"""),406.81)</f>
        <v>406.81</v>
      </c>
      <c r="E850" s="4">
        <f>IFERROR(__xludf.DUMMYFUNCTION("""COMPUTED_VALUE"""),45516.66666666667)</f>
        <v>45516.66667</v>
      </c>
      <c r="F850" s="1">
        <f>IFERROR(__xludf.DUMMYFUNCTION("""COMPUTED_VALUE"""),119.0)</f>
        <v>119</v>
      </c>
      <c r="G850" s="4">
        <f>IFERROR(__xludf.DUMMYFUNCTION("""COMPUTED_VALUE"""),45516.66666666667)</f>
        <v>45516.66667</v>
      </c>
      <c r="H850" s="1">
        <f>IFERROR(__xludf.DUMMYFUNCTION("""COMPUTED_VALUE"""),145.02)</f>
        <v>145.02</v>
      </c>
      <c r="I850" s="5">
        <f t="shared" si="1"/>
        <v>0.01719303085</v>
      </c>
      <c r="K850" s="5">
        <f t="shared" si="2"/>
        <v>0.01769867997</v>
      </c>
      <c r="L850" s="5">
        <f t="shared" si="3"/>
        <v>-0.009579831933</v>
      </c>
      <c r="M850" s="5">
        <f t="shared" si="4"/>
        <v>-0.005999172528</v>
      </c>
      <c r="Q850" s="5"/>
    </row>
    <row r="851">
      <c r="A851" s="4">
        <f>IFERROR(__xludf.DUMMYFUNCTION("""COMPUTED_VALUE"""),45517.66666666667)</f>
        <v>45517.66667</v>
      </c>
      <c r="B851" s="1">
        <f>IFERROR(__xludf.DUMMYFUNCTION("""COMPUTED_VALUE"""),221.27)</f>
        <v>221.27</v>
      </c>
      <c r="C851" s="4">
        <f>IFERROR(__xludf.DUMMYFUNCTION("""COMPUTED_VALUE"""),45517.66666666667)</f>
        <v>45517.66667</v>
      </c>
      <c r="D851" s="1">
        <f>IFERROR(__xludf.DUMMYFUNCTION("""COMPUTED_VALUE"""),414.01)</f>
        <v>414.01</v>
      </c>
      <c r="E851" s="4">
        <f>IFERROR(__xludf.DUMMYFUNCTION("""COMPUTED_VALUE"""),45517.66666666667)</f>
        <v>45517.66667</v>
      </c>
      <c r="F851" s="1">
        <f>IFERROR(__xludf.DUMMYFUNCTION("""COMPUTED_VALUE"""),117.86)</f>
        <v>117.86</v>
      </c>
      <c r="G851" s="4">
        <f>IFERROR(__xludf.DUMMYFUNCTION("""COMPUTED_VALUE"""),45517.66666666667)</f>
        <v>45517.66667</v>
      </c>
      <c r="H851" s="1">
        <f>IFERROR(__xludf.DUMMYFUNCTION("""COMPUTED_VALUE"""),144.15)</f>
        <v>144.15</v>
      </c>
      <c r="I851" s="5">
        <f t="shared" si="1"/>
        <v>0.002033714466</v>
      </c>
      <c r="K851" s="5">
        <f t="shared" si="2"/>
        <v>0.006883891693</v>
      </c>
      <c r="L851" s="5">
        <f t="shared" si="3"/>
        <v>0.009248260648</v>
      </c>
      <c r="M851" s="5">
        <f t="shared" si="4"/>
        <v>0.003607353451</v>
      </c>
      <c r="Q851" s="5"/>
    </row>
    <row r="852">
      <c r="A852" s="4">
        <f>IFERROR(__xludf.DUMMYFUNCTION("""COMPUTED_VALUE"""),45518.66666666667)</f>
        <v>45518.66667</v>
      </c>
      <c r="B852" s="1">
        <f>IFERROR(__xludf.DUMMYFUNCTION("""COMPUTED_VALUE"""),221.72)</f>
        <v>221.72</v>
      </c>
      <c r="C852" s="4">
        <f>IFERROR(__xludf.DUMMYFUNCTION("""COMPUTED_VALUE"""),45518.66666666667)</f>
        <v>45518.66667</v>
      </c>
      <c r="D852" s="1">
        <f>IFERROR(__xludf.DUMMYFUNCTION("""COMPUTED_VALUE"""),416.86)</f>
        <v>416.86</v>
      </c>
      <c r="E852" s="4">
        <f>IFERROR(__xludf.DUMMYFUNCTION("""COMPUTED_VALUE"""),45518.66666666667)</f>
        <v>45518.66667</v>
      </c>
      <c r="F852" s="1">
        <f>IFERROR(__xludf.DUMMYFUNCTION("""COMPUTED_VALUE"""),118.95)</f>
        <v>118.95</v>
      </c>
      <c r="G852" s="4">
        <f>IFERROR(__xludf.DUMMYFUNCTION("""COMPUTED_VALUE"""),45518.66666666667)</f>
        <v>45518.66667</v>
      </c>
      <c r="H852" s="1">
        <f>IFERROR(__xludf.DUMMYFUNCTION("""COMPUTED_VALUE"""),144.67)</f>
        <v>144.67</v>
      </c>
      <c r="I852" s="5">
        <f t="shared" si="1"/>
        <v>0.01353057911</v>
      </c>
      <c r="K852" s="5">
        <f t="shared" si="2"/>
        <v>0.01000335844</v>
      </c>
      <c r="L852" s="5">
        <f t="shared" si="3"/>
        <v>-0.001849516604</v>
      </c>
      <c r="M852" s="5">
        <f t="shared" si="4"/>
        <v>0.01472316306</v>
      </c>
      <c r="Q852" s="5"/>
    </row>
    <row r="853">
      <c r="A853" s="4">
        <f>IFERROR(__xludf.DUMMYFUNCTION("""COMPUTED_VALUE"""),45519.66666666667)</f>
        <v>45519.66667</v>
      </c>
      <c r="B853" s="1">
        <f>IFERROR(__xludf.DUMMYFUNCTION("""COMPUTED_VALUE"""),224.72)</f>
        <v>224.72</v>
      </c>
      <c r="C853" s="4">
        <f>IFERROR(__xludf.DUMMYFUNCTION("""COMPUTED_VALUE"""),45519.66666666667)</f>
        <v>45519.66667</v>
      </c>
      <c r="D853" s="1">
        <f>IFERROR(__xludf.DUMMYFUNCTION("""COMPUTED_VALUE"""),421.03)</f>
        <v>421.03</v>
      </c>
      <c r="E853" s="4">
        <f>IFERROR(__xludf.DUMMYFUNCTION("""COMPUTED_VALUE"""),45519.66666666667)</f>
        <v>45519.66667</v>
      </c>
      <c r="F853" s="1">
        <f>IFERROR(__xludf.DUMMYFUNCTION("""COMPUTED_VALUE"""),118.73)</f>
        <v>118.73</v>
      </c>
      <c r="G853" s="4">
        <f>IFERROR(__xludf.DUMMYFUNCTION("""COMPUTED_VALUE"""),45519.66666666667)</f>
        <v>45519.66667</v>
      </c>
      <c r="H853" s="1">
        <f>IFERROR(__xludf.DUMMYFUNCTION("""COMPUTED_VALUE"""),146.8)</f>
        <v>146.8</v>
      </c>
      <c r="I853" s="5">
        <f t="shared" si="1"/>
        <v>0.005918476326</v>
      </c>
      <c r="K853" s="5">
        <f t="shared" si="2"/>
        <v>-0.006080326818</v>
      </c>
      <c r="L853" s="5">
        <f t="shared" si="3"/>
        <v>-0.004716583846</v>
      </c>
      <c r="M853" s="5">
        <f t="shared" si="4"/>
        <v>0.003201634877</v>
      </c>
      <c r="Q853" s="5"/>
    </row>
    <row r="854">
      <c r="A854" s="4">
        <f>IFERROR(__xludf.DUMMYFUNCTION("""COMPUTED_VALUE"""),45520.66666666667)</f>
        <v>45520.66667</v>
      </c>
      <c r="B854" s="1">
        <f>IFERROR(__xludf.DUMMYFUNCTION("""COMPUTED_VALUE"""),226.05)</f>
        <v>226.05</v>
      </c>
      <c r="C854" s="4">
        <f>IFERROR(__xludf.DUMMYFUNCTION("""COMPUTED_VALUE"""),45520.66666666667)</f>
        <v>45520.66667</v>
      </c>
      <c r="D854" s="1">
        <f>IFERROR(__xludf.DUMMYFUNCTION("""COMPUTED_VALUE"""),418.47)</f>
        <v>418.47</v>
      </c>
      <c r="E854" s="4">
        <f>IFERROR(__xludf.DUMMYFUNCTION("""COMPUTED_VALUE"""),45520.66666666667)</f>
        <v>45520.66667</v>
      </c>
      <c r="F854" s="1">
        <f>IFERROR(__xludf.DUMMYFUNCTION("""COMPUTED_VALUE"""),118.17)</f>
        <v>118.17</v>
      </c>
      <c r="G854" s="4">
        <f>IFERROR(__xludf.DUMMYFUNCTION("""COMPUTED_VALUE"""),45520.66666666667)</f>
        <v>45520.66667</v>
      </c>
      <c r="H854" s="1">
        <f>IFERROR(__xludf.DUMMYFUNCTION("""COMPUTED_VALUE"""),147.27)</f>
        <v>147.27</v>
      </c>
      <c r="I854" s="5">
        <f t="shared" si="1"/>
        <v>-0.0007078080071</v>
      </c>
      <c r="K854" s="5">
        <f t="shared" si="2"/>
        <v>0.00731235214</v>
      </c>
      <c r="L854" s="5">
        <f t="shared" si="3"/>
        <v>0.003046458492</v>
      </c>
      <c r="M854" s="5">
        <f t="shared" si="4"/>
        <v>-0.002987709649</v>
      </c>
      <c r="Q854" s="5"/>
    </row>
    <row r="855">
      <c r="A855" s="4">
        <f>IFERROR(__xludf.DUMMYFUNCTION("""COMPUTED_VALUE"""),45523.66666666667)</f>
        <v>45523.66667</v>
      </c>
      <c r="B855" s="1">
        <f>IFERROR(__xludf.DUMMYFUNCTION("""COMPUTED_VALUE"""),225.89)</f>
        <v>225.89</v>
      </c>
      <c r="C855" s="4">
        <f>IFERROR(__xludf.DUMMYFUNCTION("""COMPUTED_VALUE"""),45523.66666666667)</f>
        <v>45523.66667</v>
      </c>
      <c r="D855" s="1">
        <f>IFERROR(__xludf.DUMMYFUNCTION("""COMPUTED_VALUE"""),421.53)</f>
        <v>421.53</v>
      </c>
      <c r="E855" s="4">
        <f>IFERROR(__xludf.DUMMYFUNCTION("""COMPUTED_VALUE"""),45523.66666666667)</f>
        <v>45523.66667</v>
      </c>
      <c r="F855" s="1">
        <f>IFERROR(__xludf.DUMMYFUNCTION("""COMPUTED_VALUE"""),118.53)</f>
        <v>118.53</v>
      </c>
      <c r="G855" s="4">
        <f>IFERROR(__xludf.DUMMYFUNCTION("""COMPUTED_VALUE"""),45523.66666666667)</f>
        <v>45523.66667</v>
      </c>
      <c r="H855" s="1">
        <f>IFERROR(__xludf.DUMMYFUNCTION("""COMPUTED_VALUE"""),146.83)</f>
        <v>146.83</v>
      </c>
      <c r="I855" s="5">
        <f t="shared" si="1"/>
        <v>0.002744698747</v>
      </c>
      <c r="K855" s="5">
        <f t="shared" si="2"/>
        <v>0.007757454985</v>
      </c>
      <c r="L855" s="5">
        <f t="shared" si="3"/>
        <v>-0.03332489665</v>
      </c>
      <c r="M855" s="5">
        <f t="shared" si="4"/>
        <v>-0.0145746782</v>
      </c>
      <c r="Q855" s="5"/>
    </row>
    <row r="856">
      <c r="A856" s="4">
        <f>IFERROR(__xludf.DUMMYFUNCTION("""COMPUTED_VALUE"""),45524.66666666667)</f>
        <v>45524.66667</v>
      </c>
      <c r="B856" s="1">
        <f>IFERROR(__xludf.DUMMYFUNCTION("""COMPUTED_VALUE"""),226.51)</f>
        <v>226.51</v>
      </c>
      <c r="C856" s="4">
        <f>IFERROR(__xludf.DUMMYFUNCTION("""COMPUTED_VALUE"""),45524.66666666667)</f>
        <v>45524.66667</v>
      </c>
      <c r="D856" s="1">
        <f>IFERROR(__xludf.DUMMYFUNCTION("""COMPUTED_VALUE"""),424.8)</f>
        <v>424.8</v>
      </c>
      <c r="E856" s="4">
        <f>IFERROR(__xludf.DUMMYFUNCTION("""COMPUTED_VALUE"""),45524.66666666667)</f>
        <v>45524.66667</v>
      </c>
      <c r="F856" s="1">
        <f>IFERROR(__xludf.DUMMYFUNCTION("""COMPUTED_VALUE"""),114.58)</f>
        <v>114.58</v>
      </c>
      <c r="G856" s="4">
        <f>IFERROR(__xludf.DUMMYFUNCTION("""COMPUTED_VALUE"""),45524.66666666667)</f>
        <v>45524.66667</v>
      </c>
      <c r="H856" s="1">
        <f>IFERROR(__xludf.DUMMYFUNCTION("""COMPUTED_VALUE"""),144.69)</f>
        <v>144.69</v>
      </c>
      <c r="I856" s="5">
        <f t="shared" si="1"/>
        <v>-0.0004856297735</v>
      </c>
      <c r="K856" s="5">
        <f t="shared" si="2"/>
        <v>-0.001553672316</v>
      </c>
      <c r="L856" s="5">
        <f t="shared" si="3"/>
        <v>-0.006371094432</v>
      </c>
      <c r="M856" s="5">
        <f t="shared" si="4"/>
        <v>0.00435413643</v>
      </c>
      <c r="Q856" s="5"/>
    </row>
    <row r="857">
      <c r="A857" s="4">
        <f>IFERROR(__xludf.DUMMYFUNCTION("""COMPUTED_VALUE"""),45525.66666666667)</f>
        <v>45525.66667</v>
      </c>
      <c r="B857" s="1">
        <f>IFERROR(__xludf.DUMMYFUNCTION("""COMPUTED_VALUE"""),226.4)</f>
        <v>226.4</v>
      </c>
      <c r="C857" s="4">
        <f>IFERROR(__xludf.DUMMYFUNCTION("""COMPUTED_VALUE"""),45525.66666666667)</f>
        <v>45525.66667</v>
      </c>
      <c r="D857" s="1">
        <f>IFERROR(__xludf.DUMMYFUNCTION("""COMPUTED_VALUE"""),424.14)</f>
        <v>424.14</v>
      </c>
      <c r="E857" s="4">
        <f>IFERROR(__xludf.DUMMYFUNCTION("""COMPUTED_VALUE"""),45525.66666666667)</f>
        <v>45525.66667</v>
      </c>
      <c r="F857" s="1">
        <f>IFERROR(__xludf.DUMMYFUNCTION("""COMPUTED_VALUE"""),113.85)</f>
        <v>113.85</v>
      </c>
      <c r="G857" s="4">
        <f>IFERROR(__xludf.DUMMYFUNCTION("""COMPUTED_VALUE"""),45525.66666666667)</f>
        <v>45525.66667</v>
      </c>
      <c r="H857" s="1">
        <f>IFERROR(__xludf.DUMMYFUNCTION("""COMPUTED_VALUE"""),145.32)</f>
        <v>145.32</v>
      </c>
      <c r="I857" s="5">
        <f t="shared" si="1"/>
        <v>-0.008259717314</v>
      </c>
      <c r="K857" s="5">
        <f t="shared" si="2"/>
        <v>-0.02025274673</v>
      </c>
      <c r="L857" s="5">
        <f t="shared" si="3"/>
        <v>0.007729468599</v>
      </c>
      <c r="M857" s="5">
        <f t="shared" si="4"/>
        <v>0.002821359758</v>
      </c>
      <c r="Q857" s="5"/>
    </row>
    <row r="858">
      <c r="A858" s="4">
        <f>IFERROR(__xludf.DUMMYFUNCTION("""COMPUTED_VALUE"""),45526.66666666667)</f>
        <v>45526.66667</v>
      </c>
      <c r="B858" s="1">
        <f>IFERROR(__xludf.DUMMYFUNCTION("""COMPUTED_VALUE"""),224.53)</f>
        <v>224.53</v>
      </c>
      <c r="C858" s="4">
        <f>IFERROR(__xludf.DUMMYFUNCTION("""COMPUTED_VALUE"""),45526.66666666667)</f>
        <v>45526.66667</v>
      </c>
      <c r="D858" s="1">
        <f>IFERROR(__xludf.DUMMYFUNCTION("""COMPUTED_VALUE"""),415.55)</f>
        <v>415.55</v>
      </c>
      <c r="E858" s="4">
        <f>IFERROR(__xludf.DUMMYFUNCTION("""COMPUTED_VALUE"""),45526.66666666667)</f>
        <v>45526.66667</v>
      </c>
      <c r="F858" s="1">
        <f>IFERROR(__xludf.DUMMYFUNCTION("""COMPUTED_VALUE"""),114.73)</f>
        <v>114.73</v>
      </c>
      <c r="G858" s="4">
        <f>IFERROR(__xludf.DUMMYFUNCTION("""COMPUTED_VALUE"""),45526.66666666667)</f>
        <v>45526.66667</v>
      </c>
      <c r="H858" s="1">
        <f>IFERROR(__xludf.DUMMYFUNCTION("""COMPUTED_VALUE"""),145.73)</f>
        <v>145.73</v>
      </c>
      <c r="I858" s="5">
        <f t="shared" si="1"/>
        <v>0.01028815748</v>
      </c>
      <c r="K858" s="5">
        <f t="shared" si="2"/>
        <v>0.002983997112</v>
      </c>
      <c r="L858" s="5">
        <f t="shared" si="3"/>
        <v>0.0138586246</v>
      </c>
      <c r="M858" s="5">
        <f t="shared" si="4"/>
        <v>0.0129691896</v>
      </c>
      <c r="Q858" s="5"/>
    </row>
    <row r="859">
      <c r="A859" s="4">
        <f>IFERROR(__xludf.DUMMYFUNCTION("""COMPUTED_VALUE"""),45527.66666666667)</f>
        <v>45527.66667</v>
      </c>
      <c r="B859" s="1">
        <f>IFERROR(__xludf.DUMMYFUNCTION("""COMPUTED_VALUE"""),226.84)</f>
        <v>226.84</v>
      </c>
      <c r="C859" s="4">
        <f>IFERROR(__xludf.DUMMYFUNCTION("""COMPUTED_VALUE"""),45527.66666666667)</f>
        <v>45527.66667</v>
      </c>
      <c r="D859" s="1">
        <f>IFERROR(__xludf.DUMMYFUNCTION("""COMPUTED_VALUE"""),416.79)</f>
        <v>416.79</v>
      </c>
      <c r="E859" s="4">
        <f>IFERROR(__xludf.DUMMYFUNCTION("""COMPUTED_VALUE"""),45527.66666666667)</f>
        <v>45527.66667</v>
      </c>
      <c r="F859" s="1">
        <f>IFERROR(__xludf.DUMMYFUNCTION("""COMPUTED_VALUE"""),116.32)</f>
        <v>116.32</v>
      </c>
      <c r="G859" s="4">
        <f>IFERROR(__xludf.DUMMYFUNCTION("""COMPUTED_VALUE"""),45527.66666666667)</f>
        <v>45527.66667</v>
      </c>
      <c r="H859" s="1">
        <f>IFERROR(__xludf.DUMMYFUNCTION("""COMPUTED_VALUE"""),147.62)</f>
        <v>147.62</v>
      </c>
      <c r="I859" s="5">
        <f t="shared" si="1"/>
        <v>0.001498853818</v>
      </c>
      <c r="K859" s="5">
        <f t="shared" si="2"/>
        <v>-0.007917656374</v>
      </c>
      <c r="L859" s="5">
        <f t="shared" si="3"/>
        <v>0.02140646492</v>
      </c>
      <c r="M859" s="5">
        <f t="shared" si="4"/>
        <v>0.005961251863</v>
      </c>
      <c r="Q859" s="5"/>
    </row>
    <row r="860">
      <c r="A860" s="4">
        <f>IFERROR(__xludf.DUMMYFUNCTION("""COMPUTED_VALUE"""),45530.66666666667)</f>
        <v>45530.66667</v>
      </c>
      <c r="B860" s="1">
        <f>IFERROR(__xludf.DUMMYFUNCTION("""COMPUTED_VALUE"""),227.18)</f>
        <v>227.18</v>
      </c>
      <c r="C860" s="4">
        <f>IFERROR(__xludf.DUMMYFUNCTION("""COMPUTED_VALUE"""),45530.66666666667)</f>
        <v>45530.66667</v>
      </c>
      <c r="D860" s="1">
        <f>IFERROR(__xludf.DUMMYFUNCTION("""COMPUTED_VALUE"""),413.49)</f>
        <v>413.49</v>
      </c>
      <c r="E860" s="4">
        <f>IFERROR(__xludf.DUMMYFUNCTION("""COMPUTED_VALUE"""),45530.66666666667)</f>
        <v>45530.66667</v>
      </c>
      <c r="F860" s="1">
        <f>IFERROR(__xludf.DUMMYFUNCTION("""COMPUTED_VALUE"""),118.81)</f>
        <v>118.81</v>
      </c>
      <c r="G860" s="4">
        <f>IFERROR(__xludf.DUMMYFUNCTION("""COMPUTED_VALUE"""),45530.66666666667)</f>
        <v>45530.66667</v>
      </c>
      <c r="H860" s="1">
        <f>IFERROR(__xludf.DUMMYFUNCTION("""COMPUTED_VALUE"""),148.5)</f>
        <v>148.5</v>
      </c>
      <c r="I860" s="5">
        <f t="shared" si="1"/>
        <v>0.003741526543</v>
      </c>
      <c r="K860" s="5">
        <f t="shared" si="2"/>
        <v>0.0008464533604</v>
      </c>
      <c r="L860" s="5">
        <f t="shared" si="3"/>
        <v>-0.009510983924</v>
      </c>
      <c r="M860" s="5">
        <f t="shared" si="4"/>
        <v>-0.01043771044</v>
      </c>
      <c r="Q860" s="5"/>
    </row>
    <row r="861">
      <c r="A861" s="4">
        <f>IFERROR(__xludf.DUMMYFUNCTION("""COMPUTED_VALUE"""),45531.66666666667)</f>
        <v>45531.66667</v>
      </c>
      <c r="B861" s="1">
        <f>IFERROR(__xludf.DUMMYFUNCTION("""COMPUTED_VALUE"""),228.03)</f>
        <v>228.03</v>
      </c>
      <c r="C861" s="4">
        <f>IFERROR(__xludf.DUMMYFUNCTION("""COMPUTED_VALUE"""),45531.66666666667)</f>
        <v>45531.66667</v>
      </c>
      <c r="D861" s="1">
        <f>IFERROR(__xludf.DUMMYFUNCTION("""COMPUTED_VALUE"""),413.84)</f>
        <v>413.84</v>
      </c>
      <c r="E861" s="4">
        <f>IFERROR(__xludf.DUMMYFUNCTION("""COMPUTED_VALUE"""),45531.66666666667)</f>
        <v>45531.66667</v>
      </c>
      <c r="F861" s="1">
        <f>IFERROR(__xludf.DUMMYFUNCTION("""COMPUTED_VALUE"""),117.68)</f>
        <v>117.68</v>
      </c>
      <c r="G861" s="4">
        <f>IFERROR(__xludf.DUMMYFUNCTION("""COMPUTED_VALUE"""),45531.66666666667)</f>
        <v>45531.66667</v>
      </c>
      <c r="H861" s="1">
        <f>IFERROR(__xludf.DUMMYFUNCTION("""COMPUTED_VALUE"""),146.95)</f>
        <v>146.95</v>
      </c>
      <c r="I861" s="5">
        <f t="shared" si="1"/>
        <v>-0.006753497347</v>
      </c>
      <c r="K861" s="5">
        <f t="shared" si="2"/>
        <v>-0.007829112701</v>
      </c>
      <c r="L861" s="5">
        <f t="shared" si="3"/>
        <v>-0.009857239973</v>
      </c>
      <c r="M861" s="5">
        <f t="shared" si="4"/>
        <v>-0.00646478394</v>
      </c>
      <c r="Q861" s="5"/>
    </row>
    <row r="862">
      <c r="A862" s="4">
        <f>IFERROR(__xludf.DUMMYFUNCTION("""COMPUTED_VALUE"""),45532.66666666667)</f>
        <v>45532.66667</v>
      </c>
      <c r="B862" s="1">
        <f>IFERROR(__xludf.DUMMYFUNCTION("""COMPUTED_VALUE"""),226.49)</f>
        <v>226.49</v>
      </c>
      <c r="C862" s="4">
        <f>IFERROR(__xludf.DUMMYFUNCTION("""COMPUTED_VALUE"""),45532.66666666667)</f>
        <v>45532.66667</v>
      </c>
      <c r="D862" s="1">
        <f>IFERROR(__xludf.DUMMYFUNCTION("""COMPUTED_VALUE"""),410.6)</f>
        <v>410.6</v>
      </c>
      <c r="E862" s="4">
        <f>IFERROR(__xludf.DUMMYFUNCTION("""COMPUTED_VALUE"""),45532.66666666667)</f>
        <v>45532.66667</v>
      </c>
      <c r="F862" s="1">
        <f>IFERROR(__xludf.DUMMYFUNCTION("""COMPUTED_VALUE"""),116.52)</f>
        <v>116.52</v>
      </c>
      <c r="G862" s="4">
        <f>IFERROR(__xludf.DUMMYFUNCTION("""COMPUTED_VALUE"""),45532.66666666667)</f>
        <v>45532.66667</v>
      </c>
      <c r="H862" s="1">
        <f>IFERROR(__xludf.DUMMYFUNCTION("""COMPUTED_VALUE"""),146.0)</f>
        <v>146</v>
      </c>
      <c r="I862" s="5">
        <f t="shared" si="1"/>
        <v>0.0145701797</v>
      </c>
      <c r="K862" s="5">
        <f t="shared" si="2"/>
        <v>0.006137359961</v>
      </c>
      <c r="L862" s="5">
        <f t="shared" si="3"/>
        <v>0.01381737041</v>
      </c>
      <c r="M862" s="5">
        <f t="shared" si="4"/>
        <v>0.009726027397</v>
      </c>
      <c r="Q862" s="5"/>
    </row>
    <row r="863">
      <c r="A863" s="4">
        <f>IFERROR(__xludf.DUMMYFUNCTION("""COMPUTED_VALUE"""),45533.66666666667)</f>
        <v>45533.66667</v>
      </c>
      <c r="B863" s="1">
        <f>IFERROR(__xludf.DUMMYFUNCTION("""COMPUTED_VALUE"""),229.79)</f>
        <v>229.79</v>
      </c>
      <c r="C863" s="4">
        <f>IFERROR(__xludf.DUMMYFUNCTION("""COMPUTED_VALUE"""),45533.66666666667)</f>
        <v>45533.66667</v>
      </c>
      <c r="D863" s="1">
        <f>IFERROR(__xludf.DUMMYFUNCTION("""COMPUTED_VALUE"""),413.12)</f>
        <v>413.12</v>
      </c>
      <c r="E863" s="4">
        <f>IFERROR(__xludf.DUMMYFUNCTION("""COMPUTED_VALUE"""),45533.66666666667)</f>
        <v>45533.66667</v>
      </c>
      <c r="F863" s="1">
        <f>IFERROR(__xludf.DUMMYFUNCTION("""COMPUTED_VALUE"""),118.13)</f>
        <v>118.13</v>
      </c>
      <c r="G863" s="4">
        <f>IFERROR(__xludf.DUMMYFUNCTION("""COMPUTED_VALUE"""),45533.66666666667)</f>
        <v>45533.66667</v>
      </c>
      <c r="H863" s="1">
        <f>IFERROR(__xludf.DUMMYFUNCTION("""COMPUTED_VALUE"""),147.42)</f>
        <v>147.42</v>
      </c>
      <c r="I863" s="5">
        <f t="shared" si="1"/>
        <v>-0.003437921581</v>
      </c>
      <c r="K863" s="5">
        <f t="shared" si="2"/>
        <v>0.009730828815</v>
      </c>
      <c r="L863" s="5">
        <f t="shared" si="3"/>
        <v>-0.001608397528</v>
      </c>
      <c r="M863" s="5">
        <f t="shared" si="4"/>
        <v>0.003595170262</v>
      </c>
      <c r="Q863" s="5"/>
    </row>
    <row r="864">
      <c r="A864" s="4">
        <f>IFERROR(__xludf.DUMMYFUNCTION("""COMPUTED_VALUE"""),45534.66666666667)</f>
        <v>45534.66667</v>
      </c>
      <c r="B864" s="1">
        <f>IFERROR(__xludf.DUMMYFUNCTION("""COMPUTED_VALUE"""),229.0)</f>
        <v>229</v>
      </c>
      <c r="C864" s="4">
        <f>IFERROR(__xludf.DUMMYFUNCTION("""COMPUTED_VALUE"""),45534.66666666667)</f>
        <v>45534.66667</v>
      </c>
      <c r="D864" s="1">
        <f>IFERROR(__xludf.DUMMYFUNCTION("""COMPUTED_VALUE"""),417.14)</f>
        <v>417.14</v>
      </c>
      <c r="E864" s="4">
        <f>IFERROR(__xludf.DUMMYFUNCTION("""COMPUTED_VALUE"""),45534.66666666667)</f>
        <v>45534.66667</v>
      </c>
      <c r="F864" s="1">
        <f>IFERROR(__xludf.DUMMYFUNCTION("""COMPUTED_VALUE"""),117.94)</f>
        <v>117.94</v>
      </c>
      <c r="G864" s="4">
        <f>IFERROR(__xludf.DUMMYFUNCTION("""COMPUTED_VALUE"""),45534.66666666667)</f>
        <v>45534.66667</v>
      </c>
      <c r="H864" s="1">
        <f>IFERROR(__xludf.DUMMYFUNCTION("""COMPUTED_VALUE"""),147.95)</f>
        <v>147.95</v>
      </c>
      <c r="I864" s="5">
        <f t="shared" si="1"/>
        <v>-0.02720524017</v>
      </c>
      <c r="K864" s="5">
        <f t="shared" si="2"/>
        <v>-0.01845903054</v>
      </c>
      <c r="L864" s="5">
        <f t="shared" si="3"/>
        <v>-0.0209428523</v>
      </c>
      <c r="M864" s="5">
        <f t="shared" si="4"/>
        <v>-0.02223724231</v>
      </c>
      <c r="Q864" s="5"/>
    </row>
    <row r="865">
      <c r="A865" s="4">
        <f>IFERROR(__xludf.DUMMYFUNCTION("""COMPUTED_VALUE"""),45538.66666666667)</f>
        <v>45538.66667</v>
      </c>
      <c r="B865" s="1">
        <f>IFERROR(__xludf.DUMMYFUNCTION("""COMPUTED_VALUE"""),222.77)</f>
        <v>222.77</v>
      </c>
      <c r="C865" s="4">
        <f>IFERROR(__xludf.DUMMYFUNCTION("""COMPUTED_VALUE"""),45538.66666666667)</f>
        <v>45538.66667</v>
      </c>
      <c r="D865" s="1">
        <f>IFERROR(__xludf.DUMMYFUNCTION("""COMPUTED_VALUE"""),409.44)</f>
        <v>409.44</v>
      </c>
      <c r="E865" s="4">
        <f>IFERROR(__xludf.DUMMYFUNCTION("""COMPUTED_VALUE"""),45538.66666666667)</f>
        <v>45538.66667</v>
      </c>
      <c r="F865" s="1">
        <f>IFERROR(__xludf.DUMMYFUNCTION("""COMPUTED_VALUE"""),115.47)</f>
        <v>115.47</v>
      </c>
      <c r="G865" s="4">
        <f>IFERROR(__xludf.DUMMYFUNCTION("""COMPUTED_VALUE"""),45538.66666666667)</f>
        <v>45538.66667</v>
      </c>
      <c r="H865" s="1">
        <f>IFERROR(__xludf.DUMMYFUNCTION("""COMPUTED_VALUE"""),144.66)</f>
        <v>144.66</v>
      </c>
      <c r="I865" s="5">
        <f t="shared" si="1"/>
        <v>-0.008618754769</v>
      </c>
      <c r="K865" s="5">
        <f t="shared" si="2"/>
        <v>-0.00131887456</v>
      </c>
      <c r="L865" s="5">
        <f t="shared" si="3"/>
        <v>-0.01221096389</v>
      </c>
      <c r="M865" s="5">
        <f t="shared" si="4"/>
        <v>-0.01790405088</v>
      </c>
      <c r="Q865" s="5"/>
    </row>
    <row r="866">
      <c r="A866" s="4">
        <f>IFERROR(__xludf.DUMMYFUNCTION("""COMPUTED_VALUE"""),45539.66666666667)</f>
        <v>45539.66667</v>
      </c>
      <c r="B866" s="1">
        <f>IFERROR(__xludf.DUMMYFUNCTION("""COMPUTED_VALUE"""),220.85)</f>
        <v>220.85</v>
      </c>
      <c r="C866" s="4">
        <f>IFERROR(__xludf.DUMMYFUNCTION("""COMPUTED_VALUE"""),45539.66666666667)</f>
        <v>45539.66667</v>
      </c>
      <c r="D866" s="1">
        <f>IFERROR(__xludf.DUMMYFUNCTION("""COMPUTED_VALUE"""),408.9)</f>
        <v>408.9</v>
      </c>
      <c r="E866" s="4">
        <f>IFERROR(__xludf.DUMMYFUNCTION("""COMPUTED_VALUE"""),45539.66666666667)</f>
        <v>45539.66667</v>
      </c>
      <c r="F866" s="1">
        <f>IFERROR(__xludf.DUMMYFUNCTION("""COMPUTED_VALUE"""),114.06)</f>
        <v>114.06</v>
      </c>
      <c r="G866" s="4">
        <f>IFERROR(__xludf.DUMMYFUNCTION("""COMPUTED_VALUE"""),45539.66666666667)</f>
        <v>45539.66667</v>
      </c>
      <c r="H866" s="1">
        <f>IFERROR(__xludf.DUMMYFUNCTION("""COMPUTED_VALUE"""),142.07)</f>
        <v>142.07</v>
      </c>
      <c r="I866" s="5">
        <f t="shared" si="1"/>
        <v>0.006927779036</v>
      </c>
      <c r="K866" s="5">
        <f t="shared" si="2"/>
        <v>-0.001247248716</v>
      </c>
      <c r="L866" s="5">
        <f t="shared" si="3"/>
        <v>-0.007802910749</v>
      </c>
      <c r="M866" s="5">
        <f t="shared" si="4"/>
        <v>-0.008024213416</v>
      </c>
      <c r="Q866" s="5"/>
    </row>
    <row r="867">
      <c r="A867" s="4">
        <f>IFERROR(__xludf.DUMMYFUNCTION("""COMPUTED_VALUE"""),45540.66666666667)</f>
        <v>45540.66667</v>
      </c>
      <c r="B867" s="1">
        <f>IFERROR(__xludf.DUMMYFUNCTION("""COMPUTED_VALUE"""),222.38)</f>
        <v>222.38</v>
      </c>
      <c r="C867" s="4">
        <f>IFERROR(__xludf.DUMMYFUNCTION("""COMPUTED_VALUE"""),45540.66666666667)</f>
        <v>45540.66667</v>
      </c>
      <c r="D867" s="1">
        <f>IFERROR(__xludf.DUMMYFUNCTION("""COMPUTED_VALUE"""),408.39)</f>
        <v>408.39</v>
      </c>
      <c r="E867" s="4">
        <f>IFERROR(__xludf.DUMMYFUNCTION("""COMPUTED_VALUE"""),45540.66666666667)</f>
        <v>45540.66667</v>
      </c>
      <c r="F867" s="1">
        <f>IFERROR(__xludf.DUMMYFUNCTION("""COMPUTED_VALUE"""),113.17)</f>
        <v>113.17</v>
      </c>
      <c r="G867" s="4">
        <f>IFERROR(__xludf.DUMMYFUNCTION("""COMPUTED_VALUE"""),45540.66666666667)</f>
        <v>45540.66667</v>
      </c>
      <c r="H867" s="1">
        <f>IFERROR(__xludf.DUMMYFUNCTION("""COMPUTED_VALUE"""),140.93)</f>
        <v>140.93</v>
      </c>
      <c r="I867" s="5">
        <f t="shared" si="1"/>
        <v>-0.007015019336</v>
      </c>
      <c r="K867" s="5">
        <f t="shared" si="2"/>
        <v>-0.01638140013</v>
      </c>
      <c r="L867" s="5">
        <f t="shared" si="3"/>
        <v>-0.004683219935</v>
      </c>
      <c r="M867" s="5">
        <f t="shared" si="4"/>
        <v>-0.01681685943</v>
      </c>
      <c r="Q867" s="5"/>
    </row>
    <row r="868">
      <c r="A868" s="4">
        <f>IFERROR(__xludf.DUMMYFUNCTION("""COMPUTED_VALUE"""),45541.66666666667)</f>
        <v>45541.66667</v>
      </c>
      <c r="B868" s="1">
        <f>IFERROR(__xludf.DUMMYFUNCTION("""COMPUTED_VALUE"""),220.82)</f>
        <v>220.82</v>
      </c>
      <c r="C868" s="4">
        <f>IFERROR(__xludf.DUMMYFUNCTION("""COMPUTED_VALUE"""),45541.66666666667)</f>
        <v>45541.66667</v>
      </c>
      <c r="D868" s="1">
        <f>IFERROR(__xludf.DUMMYFUNCTION("""COMPUTED_VALUE"""),401.7)</f>
        <v>401.7</v>
      </c>
      <c r="E868" s="4">
        <f>IFERROR(__xludf.DUMMYFUNCTION("""COMPUTED_VALUE"""),45541.66666666667)</f>
        <v>45541.66667</v>
      </c>
      <c r="F868" s="1">
        <f>IFERROR(__xludf.DUMMYFUNCTION("""COMPUTED_VALUE"""),112.64)</f>
        <v>112.64</v>
      </c>
      <c r="G868" s="4">
        <f>IFERROR(__xludf.DUMMYFUNCTION("""COMPUTED_VALUE"""),45541.66666666667)</f>
        <v>45541.66667</v>
      </c>
      <c r="H868" s="1">
        <f>IFERROR(__xludf.DUMMYFUNCTION("""COMPUTED_VALUE"""),138.56)</f>
        <v>138.56</v>
      </c>
      <c r="I868" s="5">
        <f t="shared" si="1"/>
        <v>0.0004075717779</v>
      </c>
      <c r="K868" s="5">
        <f t="shared" si="2"/>
        <v>0.01000746826</v>
      </c>
      <c r="L868" s="5">
        <f t="shared" si="3"/>
        <v>0.02104048295</v>
      </c>
      <c r="M868" s="5">
        <f t="shared" si="4"/>
        <v>0.01255773672</v>
      </c>
      <c r="Q868" s="5"/>
    </row>
    <row r="869">
      <c r="A869" s="4">
        <f>IFERROR(__xludf.DUMMYFUNCTION("""COMPUTED_VALUE"""),45544.66666666667)</f>
        <v>45544.66667</v>
      </c>
      <c r="B869" s="1">
        <f>IFERROR(__xludf.DUMMYFUNCTION("""COMPUTED_VALUE"""),220.91)</f>
        <v>220.91</v>
      </c>
      <c r="C869" s="4">
        <f>IFERROR(__xludf.DUMMYFUNCTION("""COMPUTED_VALUE"""),45544.66666666667)</f>
        <v>45544.66667</v>
      </c>
      <c r="D869" s="1">
        <f>IFERROR(__xludf.DUMMYFUNCTION("""COMPUTED_VALUE"""),405.72)</f>
        <v>405.72</v>
      </c>
      <c r="E869" s="4">
        <f>IFERROR(__xludf.DUMMYFUNCTION("""COMPUTED_VALUE"""),45544.66666666667)</f>
        <v>45544.66667</v>
      </c>
      <c r="F869" s="1">
        <f>IFERROR(__xludf.DUMMYFUNCTION("""COMPUTED_VALUE"""),115.01)</f>
        <v>115.01</v>
      </c>
      <c r="G869" s="4">
        <f>IFERROR(__xludf.DUMMYFUNCTION("""COMPUTED_VALUE"""),45544.66666666667)</f>
        <v>45544.66667</v>
      </c>
      <c r="H869" s="1">
        <f>IFERROR(__xludf.DUMMYFUNCTION("""COMPUTED_VALUE"""),140.3)</f>
        <v>140.3</v>
      </c>
      <c r="I869" s="5">
        <f t="shared" si="1"/>
        <v>-0.003621384274</v>
      </c>
      <c r="K869" s="5">
        <f t="shared" si="2"/>
        <v>0.02090111407</v>
      </c>
      <c r="L869" s="5">
        <f t="shared" si="3"/>
        <v>-0.03643161464</v>
      </c>
      <c r="M869" s="5">
        <f t="shared" si="4"/>
        <v>-0.01475409836</v>
      </c>
      <c r="Q869" s="5"/>
    </row>
    <row r="870">
      <c r="A870" s="4">
        <f>IFERROR(__xludf.DUMMYFUNCTION("""COMPUTED_VALUE"""),45545.66666666667)</f>
        <v>45545.66667</v>
      </c>
      <c r="B870" s="1">
        <f>IFERROR(__xludf.DUMMYFUNCTION("""COMPUTED_VALUE"""),220.11)</f>
        <v>220.11</v>
      </c>
      <c r="C870" s="4">
        <f>IFERROR(__xludf.DUMMYFUNCTION("""COMPUTED_VALUE"""),45545.66666666667)</f>
        <v>45545.66667</v>
      </c>
      <c r="D870" s="1">
        <f>IFERROR(__xludf.DUMMYFUNCTION("""COMPUTED_VALUE"""),414.2)</f>
        <v>414.2</v>
      </c>
      <c r="E870" s="4">
        <f>IFERROR(__xludf.DUMMYFUNCTION("""COMPUTED_VALUE"""),45545.66666666667)</f>
        <v>45545.66667</v>
      </c>
      <c r="F870" s="1">
        <f>IFERROR(__xludf.DUMMYFUNCTION("""COMPUTED_VALUE"""),110.82)</f>
        <v>110.82</v>
      </c>
      <c r="G870" s="4">
        <f>IFERROR(__xludf.DUMMYFUNCTION("""COMPUTED_VALUE"""),45545.66666666667)</f>
        <v>45545.66667</v>
      </c>
      <c r="H870" s="1">
        <f>IFERROR(__xludf.DUMMYFUNCTION("""COMPUTED_VALUE"""),138.23)</f>
        <v>138.23</v>
      </c>
      <c r="I870" s="5">
        <f t="shared" si="1"/>
        <v>0.01158511653</v>
      </c>
      <c r="K870" s="5">
        <f t="shared" si="2"/>
        <v>0.02134234669</v>
      </c>
      <c r="L870" s="5">
        <f t="shared" si="3"/>
        <v>-0.009926006136</v>
      </c>
      <c r="M870" s="5">
        <f t="shared" si="4"/>
        <v>-0.002532011864</v>
      </c>
      <c r="Q870" s="5"/>
    </row>
    <row r="871">
      <c r="A871" s="4">
        <f>IFERROR(__xludf.DUMMYFUNCTION("""COMPUTED_VALUE"""),45546.66666666667)</f>
        <v>45546.66667</v>
      </c>
      <c r="B871" s="1">
        <f>IFERROR(__xludf.DUMMYFUNCTION("""COMPUTED_VALUE"""),222.66)</f>
        <v>222.66</v>
      </c>
      <c r="C871" s="4">
        <f>IFERROR(__xludf.DUMMYFUNCTION("""COMPUTED_VALUE"""),45546.66666666667)</f>
        <v>45546.66667</v>
      </c>
      <c r="D871" s="1">
        <f>IFERROR(__xludf.DUMMYFUNCTION("""COMPUTED_VALUE"""),423.04)</f>
        <v>423.04</v>
      </c>
      <c r="E871" s="4">
        <f>IFERROR(__xludf.DUMMYFUNCTION("""COMPUTED_VALUE"""),45546.66666666667)</f>
        <v>45546.66667</v>
      </c>
      <c r="F871" s="1">
        <f>IFERROR(__xludf.DUMMYFUNCTION("""COMPUTED_VALUE"""),109.72)</f>
        <v>109.72</v>
      </c>
      <c r="G871" s="4">
        <f>IFERROR(__xludf.DUMMYFUNCTION("""COMPUTED_VALUE"""),45546.66666666667)</f>
        <v>45546.66667</v>
      </c>
      <c r="H871" s="1">
        <f>IFERROR(__xludf.DUMMYFUNCTION("""COMPUTED_VALUE"""),137.88)</f>
        <v>137.88</v>
      </c>
      <c r="I871" s="5">
        <f t="shared" si="1"/>
        <v>0.0004940267673</v>
      </c>
      <c r="K871" s="5">
        <f t="shared" si="2"/>
        <v>0.009360816944</v>
      </c>
      <c r="L871" s="5">
        <f t="shared" si="3"/>
        <v>0.01376230405</v>
      </c>
      <c r="M871" s="5">
        <f t="shared" si="4"/>
        <v>0.009646069046</v>
      </c>
      <c r="Q871" s="5"/>
    </row>
    <row r="872">
      <c r="A872" s="4">
        <f>IFERROR(__xludf.DUMMYFUNCTION("""COMPUTED_VALUE"""),45547.66666666667)</f>
        <v>45547.66667</v>
      </c>
      <c r="B872" s="1">
        <f>IFERROR(__xludf.DUMMYFUNCTION("""COMPUTED_VALUE"""),222.77)</f>
        <v>222.77</v>
      </c>
      <c r="C872" s="4">
        <f>IFERROR(__xludf.DUMMYFUNCTION("""COMPUTED_VALUE"""),45547.66666666667)</f>
        <v>45547.66667</v>
      </c>
      <c r="D872" s="1">
        <f>IFERROR(__xludf.DUMMYFUNCTION("""COMPUTED_VALUE"""),427.0)</f>
        <v>427</v>
      </c>
      <c r="E872" s="4">
        <f>IFERROR(__xludf.DUMMYFUNCTION("""COMPUTED_VALUE"""),45547.66666666667)</f>
        <v>45547.66667</v>
      </c>
      <c r="F872" s="1">
        <f>IFERROR(__xludf.DUMMYFUNCTION("""COMPUTED_VALUE"""),111.23)</f>
        <v>111.23</v>
      </c>
      <c r="G872" s="4">
        <f>IFERROR(__xludf.DUMMYFUNCTION("""COMPUTED_VALUE"""),45547.66666666667)</f>
        <v>45547.66667</v>
      </c>
      <c r="H872" s="1">
        <f>IFERROR(__xludf.DUMMYFUNCTION("""COMPUTED_VALUE"""),139.21)</f>
        <v>139.21</v>
      </c>
      <c r="I872" s="5">
        <f t="shared" si="1"/>
        <v>-0.001212012389</v>
      </c>
      <c r="K872" s="5">
        <f t="shared" si="2"/>
        <v>0.008407494145</v>
      </c>
      <c r="L872" s="5">
        <f t="shared" si="3"/>
        <v>-0.0007192304234</v>
      </c>
      <c r="M872" s="5">
        <f t="shared" si="4"/>
        <v>0.0100567488</v>
      </c>
      <c r="Q872" s="5"/>
    </row>
    <row r="873">
      <c r="A873" s="4">
        <f>IFERROR(__xludf.DUMMYFUNCTION("""COMPUTED_VALUE"""),45548.66666666667)</f>
        <v>45548.66667</v>
      </c>
      <c r="B873" s="1">
        <f>IFERROR(__xludf.DUMMYFUNCTION("""COMPUTED_VALUE"""),222.5)</f>
        <v>222.5</v>
      </c>
      <c r="C873" s="4">
        <f>IFERROR(__xludf.DUMMYFUNCTION("""COMPUTED_VALUE"""),45548.66666666667)</f>
        <v>45548.66667</v>
      </c>
      <c r="D873" s="1">
        <f>IFERROR(__xludf.DUMMYFUNCTION("""COMPUTED_VALUE"""),430.59)</f>
        <v>430.59</v>
      </c>
      <c r="E873" s="4">
        <f>IFERROR(__xludf.DUMMYFUNCTION("""COMPUTED_VALUE"""),45548.66666666667)</f>
        <v>45548.66667</v>
      </c>
      <c r="F873" s="1">
        <f>IFERROR(__xludf.DUMMYFUNCTION("""COMPUTED_VALUE"""),111.15)</f>
        <v>111.15</v>
      </c>
      <c r="G873" s="4">
        <f>IFERROR(__xludf.DUMMYFUNCTION("""COMPUTED_VALUE"""),45548.66666666667)</f>
        <v>45548.66667</v>
      </c>
      <c r="H873" s="1">
        <f>IFERROR(__xludf.DUMMYFUNCTION("""COMPUTED_VALUE"""),140.61)</f>
        <v>140.61</v>
      </c>
      <c r="I873" s="5">
        <f t="shared" si="1"/>
        <v>-0.0277752809</v>
      </c>
      <c r="K873" s="5">
        <f t="shared" si="2"/>
        <v>0.00174179614</v>
      </c>
      <c r="L873" s="5">
        <f t="shared" si="3"/>
        <v>0.01403508772</v>
      </c>
      <c r="M873" s="5">
        <f t="shared" si="4"/>
        <v>0.01052556717</v>
      </c>
      <c r="Q873" s="5"/>
    </row>
    <row r="874">
      <c r="A874" s="4">
        <f>IFERROR(__xludf.DUMMYFUNCTION("""COMPUTED_VALUE"""),45551.66666666667)</f>
        <v>45551.66667</v>
      </c>
      <c r="B874" s="1">
        <f>IFERROR(__xludf.DUMMYFUNCTION("""COMPUTED_VALUE"""),216.32)</f>
        <v>216.32</v>
      </c>
      <c r="C874" s="4">
        <f>IFERROR(__xludf.DUMMYFUNCTION("""COMPUTED_VALUE"""),45551.66666666667)</f>
        <v>45551.66667</v>
      </c>
      <c r="D874" s="1">
        <f>IFERROR(__xludf.DUMMYFUNCTION("""COMPUTED_VALUE"""),431.34)</f>
        <v>431.34</v>
      </c>
      <c r="E874" s="4">
        <f>IFERROR(__xludf.DUMMYFUNCTION("""COMPUTED_VALUE"""),45551.66666666667)</f>
        <v>45551.66667</v>
      </c>
      <c r="F874" s="1">
        <f>IFERROR(__xludf.DUMMYFUNCTION("""COMPUTED_VALUE"""),112.71)</f>
        <v>112.71</v>
      </c>
      <c r="G874" s="4">
        <f>IFERROR(__xludf.DUMMYFUNCTION("""COMPUTED_VALUE"""),45551.66666666667)</f>
        <v>45551.66667</v>
      </c>
      <c r="H874" s="1">
        <f>IFERROR(__xludf.DUMMYFUNCTION("""COMPUTED_VALUE"""),142.09)</f>
        <v>142.09</v>
      </c>
      <c r="I874" s="5">
        <f t="shared" si="1"/>
        <v>0.002172707101</v>
      </c>
      <c r="K874" s="5">
        <f t="shared" si="2"/>
        <v>0.008832939213</v>
      </c>
      <c r="L874" s="5">
        <f t="shared" si="3"/>
        <v>0.013042321</v>
      </c>
      <c r="M874" s="5">
        <f t="shared" si="4"/>
        <v>0.009289886692</v>
      </c>
      <c r="Q874" s="5"/>
    </row>
    <row r="875">
      <c r="A875" s="4">
        <f>IFERROR(__xludf.DUMMYFUNCTION("""COMPUTED_VALUE"""),45552.66666666667)</f>
        <v>45552.66667</v>
      </c>
      <c r="B875" s="1">
        <f>IFERROR(__xludf.DUMMYFUNCTION("""COMPUTED_VALUE"""),216.79)</f>
        <v>216.79</v>
      </c>
      <c r="C875" s="4">
        <f>IFERROR(__xludf.DUMMYFUNCTION("""COMPUTED_VALUE"""),45552.66666666667)</f>
        <v>45552.66667</v>
      </c>
      <c r="D875" s="1">
        <f>IFERROR(__xludf.DUMMYFUNCTION("""COMPUTED_VALUE"""),435.15)</f>
        <v>435.15</v>
      </c>
      <c r="E875" s="4">
        <f>IFERROR(__xludf.DUMMYFUNCTION("""COMPUTED_VALUE"""),45552.66666666667)</f>
        <v>45552.66667</v>
      </c>
      <c r="F875" s="1">
        <f>IFERROR(__xludf.DUMMYFUNCTION("""COMPUTED_VALUE"""),114.18)</f>
        <v>114.18</v>
      </c>
      <c r="G875" s="4">
        <f>IFERROR(__xludf.DUMMYFUNCTION("""COMPUTED_VALUE"""),45552.66666666667)</f>
        <v>45552.66667</v>
      </c>
      <c r="H875" s="1">
        <f>IFERROR(__xludf.DUMMYFUNCTION("""COMPUTED_VALUE"""),143.41)</f>
        <v>143.41</v>
      </c>
      <c r="I875" s="5">
        <f t="shared" si="1"/>
        <v>0.01798975968</v>
      </c>
      <c r="K875" s="5">
        <f t="shared" si="2"/>
        <v>-0.009973572331</v>
      </c>
      <c r="L875" s="5">
        <f t="shared" si="3"/>
        <v>0.003503240497</v>
      </c>
      <c r="M875" s="5">
        <f t="shared" si="4"/>
        <v>0.003835157939</v>
      </c>
      <c r="Q875" s="5"/>
    </row>
    <row r="876">
      <c r="A876" s="4">
        <f>IFERROR(__xludf.DUMMYFUNCTION("""COMPUTED_VALUE"""),45553.66666666667)</f>
        <v>45553.66667</v>
      </c>
      <c r="B876" s="1">
        <f>IFERROR(__xludf.DUMMYFUNCTION("""COMPUTED_VALUE"""),220.69)</f>
        <v>220.69</v>
      </c>
      <c r="C876" s="4">
        <f>IFERROR(__xludf.DUMMYFUNCTION("""COMPUTED_VALUE"""),45553.66666666667)</f>
        <v>45553.66667</v>
      </c>
      <c r="D876" s="1">
        <f>IFERROR(__xludf.DUMMYFUNCTION("""COMPUTED_VALUE"""),430.81)</f>
        <v>430.81</v>
      </c>
      <c r="E876" s="4">
        <f>IFERROR(__xludf.DUMMYFUNCTION("""COMPUTED_VALUE"""),45553.66666666667)</f>
        <v>45553.66667</v>
      </c>
      <c r="F876" s="1">
        <f>IFERROR(__xludf.DUMMYFUNCTION("""COMPUTED_VALUE"""),114.58)</f>
        <v>114.58</v>
      </c>
      <c r="G876" s="4">
        <f>IFERROR(__xludf.DUMMYFUNCTION("""COMPUTED_VALUE"""),45553.66666666667)</f>
        <v>45553.66667</v>
      </c>
      <c r="H876" s="1">
        <f>IFERROR(__xludf.DUMMYFUNCTION("""COMPUTED_VALUE"""),143.96)</f>
        <v>143.96</v>
      </c>
      <c r="I876" s="5">
        <f t="shared" si="1"/>
        <v>0.03706556709</v>
      </c>
      <c r="K876" s="5">
        <f t="shared" si="2"/>
        <v>0.01829112602</v>
      </c>
      <c r="L876" s="5">
        <f t="shared" si="3"/>
        <v>0.0123930878</v>
      </c>
      <c r="M876" s="5">
        <f t="shared" si="4"/>
        <v>0.007154765213</v>
      </c>
      <c r="Q876" s="5"/>
    </row>
    <row r="877">
      <c r="A877" s="4">
        <f>IFERROR(__xludf.DUMMYFUNCTION("""COMPUTED_VALUE"""),45554.66666666667)</f>
        <v>45554.66667</v>
      </c>
      <c r="B877" s="1">
        <f>IFERROR(__xludf.DUMMYFUNCTION("""COMPUTED_VALUE"""),228.87)</f>
        <v>228.87</v>
      </c>
      <c r="C877" s="4">
        <f>IFERROR(__xludf.DUMMYFUNCTION("""COMPUTED_VALUE"""),45554.66666666667)</f>
        <v>45554.66667</v>
      </c>
      <c r="D877" s="1">
        <f>IFERROR(__xludf.DUMMYFUNCTION("""COMPUTED_VALUE"""),438.69)</f>
        <v>438.69</v>
      </c>
      <c r="E877" s="4">
        <f>IFERROR(__xludf.DUMMYFUNCTION("""COMPUTED_VALUE"""),45554.66666666667)</f>
        <v>45554.66667</v>
      </c>
      <c r="F877" s="1">
        <f>IFERROR(__xludf.DUMMYFUNCTION("""COMPUTED_VALUE"""),116.0)</f>
        <v>116</v>
      </c>
      <c r="G877" s="4">
        <f>IFERROR(__xludf.DUMMYFUNCTION("""COMPUTED_VALUE"""),45554.66666666667)</f>
        <v>45554.66667</v>
      </c>
      <c r="H877" s="1">
        <f>IFERROR(__xludf.DUMMYFUNCTION("""COMPUTED_VALUE"""),144.99)</f>
        <v>144.99</v>
      </c>
      <c r="I877" s="5">
        <f t="shared" si="1"/>
        <v>-0.00292742605</v>
      </c>
      <c r="K877" s="5">
        <f t="shared" si="2"/>
        <v>-0.007795937906</v>
      </c>
      <c r="L877" s="5">
        <f t="shared" si="3"/>
        <v>-0.006293103448</v>
      </c>
      <c r="M877" s="5">
        <f t="shared" si="4"/>
        <v>0.004758948893</v>
      </c>
      <c r="Q877" s="5"/>
    </row>
    <row r="878">
      <c r="A878" s="4">
        <f>IFERROR(__xludf.DUMMYFUNCTION("""COMPUTED_VALUE"""),45555.66666666667)</f>
        <v>45555.66667</v>
      </c>
      <c r="B878" s="1">
        <f>IFERROR(__xludf.DUMMYFUNCTION("""COMPUTED_VALUE"""),228.2)</f>
        <v>228.2</v>
      </c>
      <c r="C878" s="4">
        <f>IFERROR(__xludf.DUMMYFUNCTION("""COMPUTED_VALUE"""),45555.66666666667)</f>
        <v>45555.66667</v>
      </c>
      <c r="D878" s="1">
        <f>IFERROR(__xludf.DUMMYFUNCTION("""COMPUTED_VALUE"""),435.27)</f>
        <v>435.27</v>
      </c>
      <c r="E878" s="4">
        <f>IFERROR(__xludf.DUMMYFUNCTION("""COMPUTED_VALUE"""),45555.66666666667)</f>
        <v>45555.66667</v>
      </c>
      <c r="F878" s="1">
        <f>IFERROR(__xludf.DUMMYFUNCTION("""COMPUTED_VALUE"""),115.27)</f>
        <v>115.27</v>
      </c>
      <c r="G878" s="4">
        <f>IFERROR(__xludf.DUMMYFUNCTION("""COMPUTED_VALUE"""),45555.66666666667)</f>
        <v>45555.66667</v>
      </c>
      <c r="H878" s="1">
        <f>IFERROR(__xludf.DUMMYFUNCTION("""COMPUTED_VALUE"""),145.68)</f>
        <v>145.68</v>
      </c>
      <c r="I878" s="5">
        <f t="shared" si="1"/>
        <v>-0.007581069238</v>
      </c>
      <c r="K878" s="5">
        <f t="shared" si="2"/>
        <v>-0.004043467273</v>
      </c>
      <c r="L878" s="5">
        <f t="shared" si="3"/>
        <v>0.0181313438</v>
      </c>
      <c r="M878" s="5">
        <f t="shared" si="4"/>
        <v>0.01276771005</v>
      </c>
      <c r="Q878" s="5"/>
    </row>
    <row r="879">
      <c r="A879" s="4">
        <f>IFERROR(__xludf.DUMMYFUNCTION("""COMPUTED_VALUE"""),45558.66666666667)</f>
        <v>45558.66667</v>
      </c>
      <c r="B879" s="1">
        <f>IFERROR(__xludf.DUMMYFUNCTION("""COMPUTED_VALUE"""),226.47)</f>
        <v>226.47</v>
      </c>
      <c r="C879" s="4">
        <f>IFERROR(__xludf.DUMMYFUNCTION("""COMPUTED_VALUE"""),45558.66666666667)</f>
        <v>45558.66667</v>
      </c>
      <c r="D879" s="1">
        <f>IFERROR(__xludf.DUMMYFUNCTION("""COMPUTED_VALUE"""),433.51)</f>
        <v>433.51</v>
      </c>
      <c r="E879" s="4">
        <f>IFERROR(__xludf.DUMMYFUNCTION("""COMPUTED_VALUE"""),45558.66666666667)</f>
        <v>45558.66667</v>
      </c>
      <c r="F879" s="1">
        <f>IFERROR(__xludf.DUMMYFUNCTION("""COMPUTED_VALUE"""),117.36)</f>
        <v>117.36</v>
      </c>
      <c r="G879" s="4">
        <f>IFERROR(__xludf.DUMMYFUNCTION("""COMPUTED_VALUE"""),45558.66666666667)</f>
        <v>45558.66667</v>
      </c>
      <c r="H879" s="1">
        <f>IFERROR(__xludf.DUMMYFUNCTION("""COMPUTED_VALUE"""),147.54)</f>
        <v>147.54</v>
      </c>
      <c r="I879" s="5">
        <f t="shared" si="1"/>
        <v>0.003974036296</v>
      </c>
      <c r="K879" s="5">
        <f t="shared" si="2"/>
        <v>-0.01001130308</v>
      </c>
      <c r="L879" s="5">
        <f t="shared" si="3"/>
        <v>-0.002641445126</v>
      </c>
      <c r="M879" s="5">
        <f t="shared" si="4"/>
        <v>-0.0006100040667</v>
      </c>
      <c r="Q879" s="5"/>
    </row>
    <row r="880">
      <c r="A880" s="4">
        <f>IFERROR(__xludf.DUMMYFUNCTION("""COMPUTED_VALUE"""),45559.66666666667)</f>
        <v>45559.66667</v>
      </c>
      <c r="B880" s="1">
        <f>IFERROR(__xludf.DUMMYFUNCTION("""COMPUTED_VALUE"""),227.37)</f>
        <v>227.37</v>
      </c>
      <c r="C880" s="4">
        <f>IFERROR(__xludf.DUMMYFUNCTION("""COMPUTED_VALUE"""),45559.66666666667)</f>
        <v>45559.66667</v>
      </c>
      <c r="D880" s="1">
        <f>IFERROR(__xludf.DUMMYFUNCTION("""COMPUTED_VALUE"""),429.17)</f>
        <v>429.17</v>
      </c>
      <c r="E880" s="4">
        <f>IFERROR(__xludf.DUMMYFUNCTION("""COMPUTED_VALUE"""),45559.66666666667)</f>
        <v>45559.66667</v>
      </c>
      <c r="F880" s="1">
        <f>IFERROR(__xludf.DUMMYFUNCTION("""COMPUTED_VALUE"""),117.05)</f>
        <v>117.05</v>
      </c>
      <c r="G880" s="4">
        <f>IFERROR(__xludf.DUMMYFUNCTION("""COMPUTED_VALUE"""),45559.66666666667)</f>
        <v>45559.66667</v>
      </c>
      <c r="H880" s="1">
        <f>IFERROR(__xludf.DUMMYFUNCTION("""COMPUTED_VALUE"""),147.45)</f>
        <v>147.45</v>
      </c>
      <c r="I880" s="5">
        <f t="shared" si="1"/>
        <v>-0.004398117606</v>
      </c>
      <c r="K880" s="5">
        <f t="shared" si="2"/>
        <v>0.00685043223</v>
      </c>
      <c r="L880" s="5">
        <f t="shared" si="3"/>
        <v>-0.01947885519</v>
      </c>
      <c r="M880" s="5">
        <f t="shared" si="4"/>
        <v>-0.02360122075</v>
      </c>
      <c r="Q880" s="5"/>
    </row>
    <row r="881">
      <c r="A881" s="4">
        <f>IFERROR(__xludf.DUMMYFUNCTION("""COMPUTED_VALUE"""),45560.66666666667)</f>
        <v>45560.66667</v>
      </c>
      <c r="B881" s="1">
        <f>IFERROR(__xludf.DUMMYFUNCTION("""COMPUTED_VALUE"""),226.37)</f>
        <v>226.37</v>
      </c>
      <c r="C881" s="4">
        <f>IFERROR(__xludf.DUMMYFUNCTION("""COMPUTED_VALUE"""),45560.66666666667)</f>
        <v>45560.66667</v>
      </c>
      <c r="D881" s="1">
        <f>IFERROR(__xludf.DUMMYFUNCTION("""COMPUTED_VALUE"""),432.11)</f>
        <v>432.11</v>
      </c>
      <c r="E881" s="4">
        <f>IFERROR(__xludf.DUMMYFUNCTION("""COMPUTED_VALUE"""),45560.66666666667)</f>
        <v>45560.66667</v>
      </c>
      <c r="F881" s="1">
        <f>IFERROR(__xludf.DUMMYFUNCTION("""COMPUTED_VALUE"""),114.77)</f>
        <v>114.77</v>
      </c>
      <c r="G881" s="4">
        <f>IFERROR(__xludf.DUMMYFUNCTION("""COMPUTED_VALUE"""),45560.66666666667)</f>
        <v>45560.66667</v>
      </c>
      <c r="H881" s="1">
        <f>IFERROR(__xludf.DUMMYFUNCTION("""COMPUTED_VALUE"""),143.97)</f>
        <v>143.97</v>
      </c>
      <c r="I881" s="5">
        <f t="shared" si="1"/>
        <v>0.005080178469</v>
      </c>
      <c r="K881" s="5">
        <f t="shared" si="2"/>
        <v>-0.001851380436</v>
      </c>
      <c r="L881" s="5">
        <f t="shared" si="3"/>
        <v>-0.01716476431</v>
      </c>
      <c r="M881" s="5">
        <f t="shared" si="4"/>
        <v>-0.01375286518</v>
      </c>
      <c r="Q881" s="5"/>
    </row>
    <row r="882">
      <c r="A882" s="4">
        <f>IFERROR(__xludf.DUMMYFUNCTION("""COMPUTED_VALUE"""),45561.66666666667)</f>
        <v>45561.66667</v>
      </c>
      <c r="B882" s="1">
        <f>IFERROR(__xludf.DUMMYFUNCTION("""COMPUTED_VALUE"""),227.52)</f>
        <v>227.52</v>
      </c>
      <c r="C882" s="4">
        <f>IFERROR(__xludf.DUMMYFUNCTION("""COMPUTED_VALUE"""),45561.66666666667)</f>
        <v>45561.66667</v>
      </c>
      <c r="D882" s="1">
        <f>IFERROR(__xludf.DUMMYFUNCTION("""COMPUTED_VALUE"""),431.31)</f>
        <v>431.31</v>
      </c>
      <c r="E882" s="4">
        <f>IFERROR(__xludf.DUMMYFUNCTION("""COMPUTED_VALUE"""),45561.66666666667)</f>
        <v>45561.66667</v>
      </c>
      <c r="F882" s="1">
        <f>IFERROR(__xludf.DUMMYFUNCTION("""COMPUTED_VALUE"""),112.8)</f>
        <v>112.8</v>
      </c>
      <c r="G882" s="4">
        <f>IFERROR(__xludf.DUMMYFUNCTION("""COMPUTED_VALUE"""),45561.66666666667)</f>
        <v>45561.66667</v>
      </c>
      <c r="H882" s="1">
        <f>IFERROR(__xludf.DUMMYFUNCTION("""COMPUTED_VALUE"""),141.99)</f>
        <v>141.99</v>
      </c>
      <c r="I882" s="5">
        <f t="shared" si="1"/>
        <v>0.001186708861</v>
      </c>
      <c r="K882" s="5">
        <f t="shared" si="2"/>
        <v>-0.007627924231</v>
      </c>
      <c r="L882" s="5">
        <f t="shared" si="3"/>
        <v>0.02677304965</v>
      </c>
      <c r="M882" s="5">
        <f t="shared" si="4"/>
        <v>0.02464962321</v>
      </c>
      <c r="Q882" s="5"/>
    </row>
    <row r="883">
      <c r="A883" s="4">
        <f>IFERROR(__xludf.DUMMYFUNCTION("""COMPUTED_VALUE"""),45562.66666666667)</f>
        <v>45562.66667</v>
      </c>
      <c r="B883" s="1">
        <f>IFERROR(__xludf.DUMMYFUNCTION("""COMPUTED_VALUE"""),227.79)</f>
        <v>227.79</v>
      </c>
      <c r="C883" s="4">
        <f>IFERROR(__xludf.DUMMYFUNCTION("""COMPUTED_VALUE"""),45562.66666666667)</f>
        <v>45562.66667</v>
      </c>
      <c r="D883" s="1">
        <f>IFERROR(__xludf.DUMMYFUNCTION("""COMPUTED_VALUE"""),428.02)</f>
        <v>428.02</v>
      </c>
      <c r="E883" s="4">
        <f>IFERROR(__xludf.DUMMYFUNCTION("""COMPUTED_VALUE"""),45562.66666666667)</f>
        <v>45562.66667</v>
      </c>
      <c r="F883" s="1">
        <f>IFERROR(__xludf.DUMMYFUNCTION("""COMPUTED_VALUE"""),115.82)</f>
        <v>115.82</v>
      </c>
      <c r="G883" s="4">
        <f>IFERROR(__xludf.DUMMYFUNCTION("""COMPUTED_VALUE"""),45562.66666666667)</f>
        <v>45562.66667</v>
      </c>
      <c r="H883" s="1">
        <f>IFERROR(__xludf.DUMMYFUNCTION("""COMPUTED_VALUE"""),145.49)</f>
        <v>145.49</v>
      </c>
      <c r="I883" s="5">
        <f t="shared" si="1"/>
        <v>0.02287194346</v>
      </c>
      <c r="K883" s="5">
        <f t="shared" si="2"/>
        <v>0.005326853885</v>
      </c>
      <c r="L883" s="5">
        <f t="shared" si="3"/>
        <v>0.01208772233</v>
      </c>
      <c r="M883" s="5">
        <f t="shared" si="4"/>
        <v>0.01223451784</v>
      </c>
      <c r="Q883" s="5"/>
    </row>
    <row r="884">
      <c r="A884" s="4">
        <f>IFERROR(__xludf.DUMMYFUNCTION("""COMPUTED_VALUE"""),45565.66666666667)</f>
        <v>45565.66667</v>
      </c>
      <c r="B884" s="1">
        <f>IFERROR(__xludf.DUMMYFUNCTION("""COMPUTED_VALUE"""),233.0)</f>
        <v>233</v>
      </c>
      <c r="C884" s="4">
        <f>IFERROR(__xludf.DUMMYFUNCTION("""COMPUTED_VALUE"""),45565.66666666667)</f>
        <v>45565.66667</v>
      </c>
      <c r="D884" s="1">
        <f>IFERROR(__xludf.DUMMYFUNCTION("""COMPUTED_VALUE"""),430.3)</f>
        <v>430.3</v>
      </c>
      <c r="E884" s="4">
        <f>IFERROR(__xludf.DUMMYFUNCTION("""COMPUTED_VALUE"""),45565.66666666667)</f>
        <v>45565.66667</v>
      </c>
      <c r="F884" s="1">
        <f>IFERROR(__xludf.DUMMYFUNCTION("""COMPUTED_VALUE"""),117.22)</f>
        <v>117.22</v>
      </c>
      <c r="G884" s="4">
        <f>IFERROR(__xludf.DUMMYFUNCTION("""COMPUTED_VALUE"""),45565.66666666667)</f>
        <v>45565.66667</v>
      </c>
      <c r="H884" s="1">
        <f>IFERROR(__xludf.DUMMYFUNCTION("""COMPUTED_VALUE"""),147.27)</f>
        <v>147.27</v>
      </c>
      <c r="I884" s="5">
        <f t="shared" si="1"/>
        <v>-0.0291416309</v>
      </c>
      <c r="K884" s="5">
        <f t="shared" si="2"/>
        <v>-0.02233325587</v>
      </c>
      <c r="L884" s="5">
        <f t="shared" si="3"/>
        <v>0.02311892169</v>
      </c>
      <c r="M884" s="5">
        <f t="shared" si="4"/>
        <v>0.01650030556</v>
      </c>
      <c r="Q884" s="5"/>
    </row>
    <row r="885">
      <c r="A885" s="4">
        <f>IFERROR(__xludf.DUMMYFUNCTION("""COMPUTED_VALUE"""),45566.66666666667)</f>
        <v>45566.66667</v>
      </c>
      <c r="B885" s="1">
        <f>IFERROR(__xludf.DUMMYFUNCTION("""COMPUTED_VALUE"""),226.21)</f>
        <v>226.21</v>
      </c>
      <c r="C885" s="4">
        <f>IFERROR(__xludf.DUMMYFUNCTION("""COMPUTED_VALUE"""),45566.66666666667)</f>
        <v>45566.66667</v>
      </c>
      <c r="D885" s="1">
        <f>IFERROR(__xludf.DUMMYFUNCTION("""COMPUTED_VALUE"""),420.69)</f>
        <v>420.69</v>
      </c>
      <c r="E885" s="4">
        <f>IFERROR(__xludf.DUMMYFUNCTION("""COMPUTED_VALUE"""),45566.66666666667)</f>
        <v>45566.66667</v>
      </c>
      <c r="F885" s="1">
        <f>IFERROR(__xludf.DUMMYFUNCTION("""COMPUTED_VALUE"""),119.93)</f>
        <v>119.93</v>
      </c>
      <c r="G885" s="4">
        <f>IFERROR(__xludf.DUMMYFUNCTION("""COMPUTED_VALUE"""),45566.66666666667)</f>
        <v>45566.66667</v>
      </c>
      <c r="H885" s="1">
        <f>IFERROR(__xludf.DUMMYFUNCTION("""COMPUTED_VALUE"""),149.7)</f>
        <v>149.7</v>
      </c>
      <c r="I885" s="5">
        <f t="shared" si="1"/>
        <v>0.002519782503</v>
      </c>
      <c r="K885" s="5">
        <f t="shared" si="2"/>
        <v>-0.008462288146</v>
      </c>
      <c r="L885" s="5">
        <f t="shared" si="3"/>
        <v>0.01325773368</v>
      </c>
      <c r="M885" s="5">
        <f t="shared" si="4"/>
        <v>0.0083500334</v>
      </c>
      <c r="Q885" s="5"/>
    </row>
    <row r="886">
      <c r="A886" s="4">
        <f>IFERROR(__xludf.DUMMYFUNCTION("""COMPUTED_VALUE"""),45567.66666666667)</f>
        <v>45567.66667</v>
      </c>
      <c r="B886" s="1">
        <f>IFERROR(__xludf.DUMMYFUNCTION("""COMPUTED_VALUE"""),226.78)</f>
        <v>226.78</v>
      </c>
      <c r="C886" s="4">
        <f>IFERROR(__xludf.DUMMYFUNCTION("""COMPUTED_VALUE"""),45567.66666666667)</f>
        <v>45567.66667</v>
      </c>
      <c r="D886" s="1">
        <f>IFERROR(__xludf.DUMMYFUNCTION("""COMPUTED_VALUE"""),417.13)</f>
        <v>417.13</v>
      </c>
      <c r="E886" s="4">
        <f>IFERROR(__xludf.DUMMYFUNCTION("""COMPUTED_VALUE"""),45567.66666666667)</f>
        <v>45567.66667</v>
      </c>
      <c r="F886" s="1">
        <f>IFERROR(__xludf.DUMMYFUNCTION("""COMPUTED_VALUE"""),121.52)</f>
        <v>121.52</v>
      </c>
      <c r="G886" s="4">
        <f>IFERROR(__xludf.DUMMYFUNCTION("""COMPUTED_VALUE"""),45567.66666666667)</f>
        <v>45567.66667</v>
      </c>
      <c r="H886" s="1">
        <f>IFERROR(__xludf.DUMMYFUNCTION("""COMPUTED_VALUE"""),150.95)</f>
        <v>150.95</v>
      </c>
      <c r="I886" s="5">
        <f t="shared" si="1"/>
        <v>-0.004894611518</v>
      </c>
      <c r="K886" s="5">
        <f t="shared" si="2"/>
        <v>-0.001414427157</v>
      </c>
      <c r="L886" s="5">
        <f t="shared" si="3"/>
        <v>0.008722843976</v>
      </c>
      <c r="M886" s="5">
        <f t="shared" si="4"/>
        <v>0.001987413051</v>
      </c>
      <c r="Q886" s="5"/>
    </row>
    <row r="887">
      <c r="A887" s="4">
        <f>IFERROR(__xludf.DUMMYFUNCTION("""COMPUTED_VALUE"""),45568.66666666667)</f>
        <v>45568.66667</v>
      </c>
      <c r="B887" s="1">
        <f>IFERROR(__xludf.DUMMYFUNCTION("""COMPUTED_VALUE"""),225.67)</f>
        <v>225.67</v>
      </c>
      <c r="C887" s="4">
        <f>IFERROR(__xludf.DUMMYFUNCTION("""COMPUTED_VALUE"""),45568.66666666667)</f>
        <v>45568.66667</v>
      </c>
      <c r="D887" s="1">
        <f>IFERROR(__xludf.DUMMYFUNCTION("""COMPUTED_VALUE"""),416.54)</f>
        <v>416.54</v>
      </c>
      <c r="E887" s="4">
        <f>IFERROR(__xludf.DUMMYFUNCTION("""COMPUTED_VALUE"""),45568.66666666667)</f>
        <v>45568.66667</v>
      </c>
      <c r="F887" s="1">
        <f>IFERROR(__xludf.DUMMYFUNCTION("""COMPUTED_VALUE"""),122.58)</f>
        <v>122.58</v>
      </c>
      <c r="G887" s="4">
        <f>IFERROR(__xludf.DUMMYFUNCTION("""COMPUTED_VALUE"""),45568.66666666667)</f>
        <v>45568.66667</v>
      </c>
      <c r="H887" s="1">
        <f>IFERROR(__xludf.DUMMYFUNCTION("""COMPUTED_VALUE"""),151.25)</f>
        <v>151.25</v>
      </c>
      <c r="I887" s="5">
        <f t="shared" si="1"/>
        <v>0.005007311561</v>
      </c>
      <c r="K887" s="5">
        <f t="shared" si="2"/>
        <v>-0.001152350314</v>
      </c>
      <c r="L887" s="5">
        <f t="shared" si="3"/>
        <v>0.01835535977</v>
      </c>
      <c r="M887" s="5">
        <f t="shared" si="4"/>
        <v>-0.003371900826</v>
      </c>
      <c r="Q887" s="5"/>
    </row>
    <row r="888">
      <c r="A888" s="4">
        <f>IFERROR(__xludf.DUMMYFUNCTION("""COMPUTED_VALUE"""),45569.66666666667)</f>
        <v>45569.66667</v>
      </c>
      <c r="B888" s="1">
        <f>IFERROR(__xludf.DUMMYFUNCTION("""COMPUTED_VALUE"""),226.8)</f>
        <v>226.8</v>
      </c>
      <c r="C888" s="4">
        <f>IFERROR(__xludf.DUMMYFUNCTION("""COMPUTED_VALUE"""),45569.66666666667)</f>
        <v>45569.66667</v>
      </c>
      <c r="D888" s="1">
        <f>IFERROR(__xludf.DUMMYFUNCTION("""COMPUTED_VALUE"""),416.06)</f>
        <v>416.06</v>
      </c>
      <c r="E888" s="4">
        <f>IFERROR(__xludf.DUMMYFUNCTION("""COMPUTED_VALUE"""),45569.66666666667)</f>
        <v>45569.66667</v>
      </c>
      <c r="F888" s="1">
        <f>IFERROR(__xludf.DUMMYFUNCTION("""COMPUTED_VALUE"""),124.83)</f>
        <v>124.83</v>
      </c>
      <c r="G888" s="4">
        <f>IFERROR(__xludf.DUMMYFUNCTION("""COMPUTED_VALUE"""),45569.66666666667)</f>
        <v>45569.66667</v>
      </c>
      <c r="H888" s="1">
        <f>IFERROR(__xludf.DUMMYFUNCTION("""COMPUTED_VALUE"""),150.74)</f>
        <v>150.74</v>
      </c>
      <c r="I888" s="5">
        <f t="shared" si="1"/>
        <v>-0.0225308642</v>
      </c>
      <c r="K888" s="5">
        <f t="shared" si="2"/>
        <v>-0.01567081671</v>
      </c>
      <c r="L888" s="5">
        <f t="shared" si="3"/>
        <v>0.004325883201</v>
      </c>
      <c r="M888" s="5">
        <f t="shared" si="4"/>
        <v>0.002520896909</v>
      </c>
      <c r="Q888" s="5"/>
    </row>
    <row r="889">
      <c r="A889" s="4">
        <f>IFERROR(__xludf.DUMMYFUNCTION("""COMPUTED_VALUE"""),45572.66666666667)</f>
        <v>45572.66667</v>
      </c>
      <c r="B889" s="1">
        <f>IFERROR(__xludf.DUMMYFUNCTION("""COMPUTED_VALUE"""),221.69)</f>
        <v>221.69</v>
      </c>
      <c r="C889" s="4">
        <f>IFERROR(__xludf.DUMMYFUNCTION("""COMPUTED_VALUE"""),45572.66666666667)</f>
        <v>45572.66667</v>
      </c>
      <c r="D889" s="1">
        <f>IFERROR(__xludf.DUMMYFUNCTION("""COMPUTED_VALUE"""),409.54)</f>
        <v>409.54</v>
      </c>
      <c r="E889" s="4">
        <f>IFERROR(__xludf.DUMMYFUNCTION("""COMPUTED_VALUE"""),45572.66666666667)</f>
        <v>45572.66667</v>
      </c>
      <c r="F889" s="1">
        <f>IFERROR(__xludf.DUMMYFUNCTION("""COMPUTED_VALUE"""),125.37)</f>
        <v>125.37</v>
      </c>
      <c r="G889" s="4">
        <f>IFERROR(__xludf.DUMMYFUNCTION("""COMPUTED_VALUE"""),45572.66666666667)</f>
        <v>45572.66667</v>
      </c>
      <c r="H889" s="1">
        <f>IFERROR(__xludf.DUMMYFUNCTION("""COMPUTED_VALUE"""),151.12)</f>
        <v>151.12</v>
      </c>
      <c r="I889" s="5">
        <f t="shared" si="1"/>
        <v>0.01840407777</v>
      </c>
      <c r="K889" s="5">
        <f t="shared" si="2"/>
        <v>0.01262391952</v>
      </c>
      <c r="L889" s="5">
        <f t="shared" si="3"/>
        <v>-0.02656137832</v>
      </c>
      <c r="M889" s="5">
        <f t="shared" si="4"/>
        <v>-0.01568290101</v>
      </c>
      <c r="Q889" s="5"/>
    </row>
    <row r="890">
      <c r="A890" s="4">
        <f>IFERROR(__xludf.DUMMYFUNCTION("""COMPUTED_VALUE"""),45573.66666666667)</f>
        <v>45573.66667</v>
      </c>
      <c r="B890" s="1">
        <f>IFERROR(__xludf.DUMMYFUNCTION("""COMPUTED_VALUE"""),225.77)</f>
        <v>225.77</v>
      </c>
      <c r="C890" s="4">
        <f>IFERROR(__xludf.DUMMYFUNCTION("""COMPUTED_VALUE"""),45573.66666666667)</f>
        <v>45573.66667</v>
      </c>
      <c r="D890" s="1">
        <f>IFERROR(__xludf.DUMMYFUNCTION("""COMPUTED_VALUE"""),414.71)</f>
        <v>414.71</v>
      </c>
      <c r="E890" s="4">
        <f>IFERROR(__xludf.DUMMYFUNCTION("""COMPUTED_VALUE"""),45573.66666666667)</f>
        <v>45573.66667</v>
      </c>
      <c r="F890" s="1">
        <f>IFERROR(__xludf.DUMMYFUNCTION("""COMPUTED_VALUE"""),122.04)</f>
        <v>122.04</v>
      </c>
      <c r="G890" s="4">
        <f>IFERROR(__xludf.DUMMYFUNCTION("""COMPUTED_VALUE"""),45573.66666666667)</f>
        <v>45573.66667</v>
      </c>
      <c r="H890" s="1">
        <f>IFERROR(__xludf.DUMMYFUNCTION("""COMPUTED_VALUE"""),148.75)</f>
        <v>148.75</v>
      </c>
      <c r="I890" s="5">
        <f t="shared" si="1"/>
        <v>0.01669840989</v>
      </c>
      <c r="K890" s="5">
        <f t="shared" si="2"/>
        <v>0.006631139833</v>
      </c>
      <c r="L890" s="5">
        <f t="shared" si="3"/>
        <v>0.0004097017371</v>
      </c>
      <c r="M890" s="5">
        <f t="shared" si="4"/>
        <v>0.006050420168</v>
      </c>
      <c r="Q890" s="5"/>
    </row>
    <row r="891">
      <c r="A891" s="4">
        <f>IFERROR(__xludf.DUMMYFUNCTION("""COMPUTED_VALUE"""),45574.66666666667)</f>
        <v>45574.66667</v>
      </c>
      <c r="B891" s="1">
        <f>IFERROR(__xludf.DUMMYFUNCTION("""COMPUTED_VALUE"""),229.54)</f>
        <v>229.54</v>
      </c>
      <c r="C891" s="4">
        <f>IFERROR(__xludf.DUMMYFUNCTION("""COMPUTED_VALUE"""),45574.66666666667)</f>
        <v>45574.66667</v>
      </c>
      <c r="D891" s="1">
        <f>IFERROR(__xludf.DUMMYFUNCTION("""COMPUTED_VALUE"""),417.46)</f>
        <v>417.46</v>
      </c>
      <c r="E891" s="4">
        <f>IFERROR(__xludf.DUMMYFUNCTION("""COMPUTED_VALUE"""),45574.66666666667)</f>
        <v>45574.66667</v>
      </c>
      <c r="F891" s="1">
        <f>IFERROR(__xludf.DUMMYFUNCTION("""COMPUTED_VALUE"""),122.09)</f>
        <v>122.09</v>
      </c>
      <c r="G891" s="4">
        <f>IFERROR(__xludf.DUMMYFUNCTION("""COMPUTED_VALUE"""),45574.66666666667)</f>
        <v>45574.66667</v>
      </c>
      <c r="H891" s="1">
        <f>IFERROR(__xludf.DUMMYFUNCTION("""COMPUTED_VALUE"""),149.65)</f>
        <v>149.65</v>
      </c>
      <c r="I891" s="5">
        <f t="shared" si="1"/>
        <v>-0.002178269583</v>
      </c>
      <c r="K891" s="5">
        <f t="shared" si="2"/>
        <v>-0.003880611316</v>
      </c>
      <c r="L891" s="5">
        <f t="shared" si="3"/>
        <v>0.008600212958</v>
      </c>
      <c r="M891" s="5">
        <f t="shared" si="4"/>
        <v>0.006481790845</v>
      </c>
      <c r="Q891" s="5"/>
    </row>
    <row r="892">
      <c r="A892" s="4">
        <f>IFERROR(__xludf.DUMMYFUNCTION("""COMPUTED_VALUE"""),45575.66666666667)</f>
        <v>45575.66667</v>
      </c>
      <c r="B892" s="1">
        <f>IFERROR(__xludf.DUMMYFUNCTION("""COMPUTED_VALUE"""),229.04)</f>
        <v>229.04</v>
      </c>
      <c r="C892" s="4">
        <f>IFERROR(__xludf.DUMMYFUNCTION("""COMPUTED_VALUE"""),45575.66666666667)</f>
        <v>45575.66667</v>
      </c>
      <c r="D892" s="1">
        <f>IFERROR(__xludf.DUMMYFUNCTION("""COMPUTED_VALUE"""),415.84)</f>
        <v>415.84</v>
      </c>
      <c r="E892" s="4">
        <f>IFERROR(__xludf.DUMMYFUNCTION("""COMPUTED_VALUE"""),45575.66666666667)</f>
        <v>45575.66667</v>
      </c>
      <c r="F892" s="1">
        <f>IFERROR(__xludf.DUMMYFUNCTION("""COMPUTED_VALUE"""),123.14)</f>
        <v>123.14</v>
      </c>
      <c r="G892" s="4">
        <f>IFERROR(__xludf.DUMMYFUNCTION("""COMPUTED_VALUE"""),45575.66666666667)</f>
        <v>45575.66667</v>
      </c>
      <c r="H892" s="1">
        <f>IFERROR(__xludf.DUMMYFUNCTION("""COMPUTED_VALUE"""),150.62)</f>
        <v>150.62</v>
      </c>
      <c r="I892" s="5">
        <f t="shared" si="1"/>
        <v>-0.006505413902</v>
      </c>
      <c r="K892" s="5">
        <f t="shared" si="2"/>
        <v>0.001154290112</v>
      </c>
      <c r="L892" s="5">
        <f t="shared" si="3"/>
        <v>0.003816793893</v>
      </c>
      <c r="M892" s="5">
        <f t="shared" si="4"/>
        <v>0.005311379631</v>
      </c>
      <c r="Q892" s="5"/>
    </row>
    <row r="893">
      <c r="A893" s="4">
        <f>IFERROR(__xludf.DUMMYFUNCTION("""COMPUTED_VALUE"""),45576.66666666667)</f>
        <v>45576.66667</v>
      </c>
      <c r="B893" s="1">
        <f>IFERROR(__xludf.DUMMYFUNCTION("""COMPUTED_VALUE"""),227.55)</f>
        <v>227.55</v>
      </c>
      <c r="C893" s="4">
        <f>IFERROR(__xludf.DUMMYFUNCTION("""COMPUTED_VALUE"""),45576.66666666667)</f>
        <v>45576.66667</v>
      </c>
      <c r="D893" s="1">
        <f>IFERROR(__xludf.DUMMYFUNCTION("""COMPUTED_VALUE"""),416.32)</f>
        <v>416.32</v>
      </c>
      <c r="E893" s="4">
        <f>IFERROR(__xludf.DUMMYFUNCTION("""COMPUTED_VALUE"""),45576.66666666667)</f>
        <v>45576.66667</v>
      </c>
      <c r="F893" s="1">
        <f>IFERROR(__xludf.DUMMYFUNCTION("""COMPUTED_VALUE"""),123.61)</f>
        <v>123.61</v>
      </c>
      <c r="G893" s="4">
        <f>IFERROR(__xludf.DUMMYFUNCTION("""COMPUTED_VALUE"""),45576.66666666667)</f>
        <v>45576.66667</v>
      </c>
      <c r="H893" s="1">
        <f>IFERROR(__xludf.DUMMYFUNCTION("""COMPUTED_VALUE"""),151.42)</f>
        <v>151.42</v>
      </c>
      <c r="I893" s="5">
        <f t="shared" si="1"/>
        <v>0.01647989453</v>
      </c>
      <c r="K893" s="5">
        <f t="shared" si="2"/>
        <v>0.006773635665</v>
      </c>
      <c r="L893" s="5">
        <f t="shared" si="3"/>
        <v>0.003802281369</v>
      </c>
      <c r="M893" s="5">
        <f t="shared" si="4"/>
        <v>0.002377493066</v>
      </c>
      <c r="Q893" s="5"/>
    </row>
    <row r="894">
      <c r="A894" s="4">
        <f>IFERROR(__xludf.DUMMYFUNCTION("""COMPUTED_VALUE"""),45579.66666666667)</f>
        <v>45579.66667</v>
      </c>
      <c r="B894" s="1">
        <f>IFERROR(__xludf.DUMMYFUNCTION("""COMPUTED_VALUE"""),231.3)</f>
        <v>231.3</v>
      </c>
      <c r="C894" s="4">
        <f>IFERROR(__xludf.DUMMYFUNCTION("""COMPUTED_VALUE"""),45579.66666666667)</f>
        <v>45579.66667</v>
      </c>
      <c r="D894" s="1">
        <f>IFERROR(__xludf.DUMMYFUNCTION("""COMPUTED_VALUE"""),419.14)</f>
        <v>419.14</v>
      </c>
      <c r="E894" s="4">
        <f>IFERROR(__xludf.DUMMYFUNCTION("""COMPUTED_VALUE"""),45579.66666666667)</f>
        <v>45579.66667</v>
      </c>
      <c r="F894" s="1">
        <f>IFERROR(__xludf.DUMMYFUNCTION("""COMPUTED_VALUE"""),124.08)</f>
        <v>124.08</v>
      </c>
      <c r="G894" s="4">
        <f>IFERROR(__xludf.DUMMYFUNCTION("""COMPUTED_VALUE"""),45579.66666666667)</f>
        <v>45579.66667</v>
      </c>
      <c r="H894" s="1">
        <f>IFERROR(__xludf.DUMMYFUNCTION("""COMPUTED_VALUE"""),151.78)</f>
        <v>151.78</v>
      </c>
      <c r="I894" s="5">
        <f t="shared" si="1"/>
        <v>0.01102464332</v>
      </c>
      <c r="K894" s="5">
        <f t="shared" si="2"/>
        <v>-0.000954335067</v>
      </c>
      <c r="L894" s="5">
        <f t="shared" si="3"/>
        <v>-0.03006125081</v>
      </c>
      <c r="M894" s="5">
        <f t="shared" si="4"/>
        <v>-0.02668335749</v>
      </c>
      <c r="Q894" s="5"/>
    </row>
    <row r="895">
      <c r="A895" s="4">
        <f>IFERROR(__xludf.DUMMYFUNCTION("""COMPUTED_VALUE"""),45580.66666666667)</f>
        <v>45580.66667</v>
      </c>
      <c r="B895" s="1">
        <f>IFERROR(__xludf.DUMMYFUNCTION("""COMPUTED_VALUE"""),233.85)</f>
        <v>233.85</v>
      </c>
      <c r="C895" s="4">
        <f>IFERROR(__xludf.DUMMYFUNCTION("""COMPUTED_VALUE"""),45580.66666666667)</f>
        <v>45580.66667</v>
      </c>
      <c r="D895" s="1">
        <f>IFERROR(__xludf.DUMMYFUNCTION("""COMPUTED_VALUE"""),418.74)</f>
        <v>418.74</v>
      </c>
      <c r="E895" s="4">
        <f>IFERROR(__xludf.DUMMYFUNCTION("""COMPUTED_VALUE"""),45580.66666666667)</f>
        <v>45580.66667</v>
      </c>
      <c r="F895" s="1">
        <f>IFERROR(__xludf.DUMMYFUNCTION("""COMPUTED_VALUE"""),120.35)</f>
        <v>120.35</v>
      </c>
      <c r="G895" s="4">
        <f>IFERROR(__xludf.DUMMYFUNCTION("""COMPUTED_VALUE"""),45580.66666666667)</f>
        <v>45580.66667</v>
      </c>
      <c r="H895" s="1">
        <f>IFERROR(__xludf.DUMMYFUNCTION("""COMPUTED_VALUE"""),147.73)</f>
        <v>147.73</v>
      </c>
      <c r="I895" s="5">
        <f t="shared" si="1"/>
        <v>-0.008851828095</v>
      </c>
      <c r="K895" s="5">
        <f t="shared" si="2"/>
        <v>-0.006256865836</v>
      </c>
      <c r="L895" s="5">
        <f t="shared" si="3"/>
        <v>0.002575820523</v>
      </c>
      <c r="M895" s="5">
        <f t="shared" si="4"/>
        <v>0.006769105801</v>
      </c>
      <c r="Q895" s="5"/>
    </row>
    <row r="896">
      <c r="A896" s="4">
        <f>IFERROR(__xludf.DUMMYFUNCTION("""COMPUTED_VALUE"""),45581.66666666667)</f>
        <v>45581.66667</v>
      </c>
      <c r="B896" s="1">
        <f>IFERROR(__xludf.DUMMYFUNCTION("""COMPUTED_VALUE"""),231.78)</f>
        <v>231.78</v>
      </c>
      <c r="C896" s="4">
        <f>IFERROR(__xludf.DUMMYFUNCTION("""COMPUTED_VALUE"""),45581.66666666667)</f>
        <v>45581.66667</v>
      </c>
      <c r="D896" s="1">
        <f>IFERROR(__xludf.DUMMYFUNCTION("""COMPUTED_VALUE"""),416.12)</f>
        <v>416.12</v>
      </c>
      <c r="E896" s="4">
        <f>IFERROR(__xludf.DUMMYFUNCTION("""COMPUTED_VALUE"""),45581.66666666667)</f>
        <v>45581.66667</v>
      </c>
      <c r="F896" s="1">
        <f>IFERROR(__xludf.DUMMYFUNCTION("""COMPUTED_VALUE"""),120.66)</f>
        <v>120.66</v>
      </c>
      <c r="G896" s="4">
        <f>IFERROR(__xludf.DUMMYFUNCTION("""COMPUTED_VALUE"""),45581.66666666667)</f>
        <v>45581.66667</v>
      </c>
      <c r="H896" s="1">
        <f>IFERROR(__xludf.DUMMYFUNCTION("""COMPUTED_VALUE"""),148.73)</f>
        <v>148.73</v>
      </c>
      <c r="I896" s="5">
        <f t="shared" si="1"/>
        <v>0.001596341358</v>
      </c>
      <c r="K896" s="5">
        <f t="shared" si="2"/>
        <v>0.001441891762</v>
      </c>
      <c r="L896" s="5">
        <f t="shared" si="3"/>
        <v>-0.002569202718</v>
      </c>
      <c r="M896" s="5">
        <f t="shared" si="4"/>
        <v>0.01660727493</v>
      </c>
      <c r="Q896" s="5"/>
    </row>
    <row r="897">
      <c r="A897" s="4">
        <f>IFERROR(__xludf.DUMMYFUNCTION("""COMPUTED_VALUE"""),45582.66666666667)</f>
        <v>45582.66667</v>
      </c>
      <c r="B897" s="1">
        <f>IFERROR(__xludf.DUMMYFUNCTION("""COMPUTED_VALUE"""),232.15)</f>
        <v>232.15</v>
      </c>
      <c r="C897" s="4">
        <f>IFERROR(__xludf.DUMMYFUNCTION("""COMPUTED_VALUE"""),45582.66666666667)</f>
        <v>45582.66667</v>
      </c>
      <c r="D897" s="1">
        <f>IFERROR(__xludf.DUMMYFUNCTION("""COMPUTED_VALUE"""),416.72)</f>
        <v>416.72</v>
      </c>
      <c r="E897" s="4">
        <f>IFERROR(__xludf.DUMMYFUNCTION("""COMPUTED_VALUE"""),45582.66666666667)</f>
        <v>45582.66667</v>
      </c>
      <c r="F897" s="1">
        <f>IFERROR(__xludf.DUMMYFUNCTION("""COMPUTED_VALUE"""),120.35)</f>
        <v>120.35</v>
      </c>
      <c r="G897" s="4">
        <f>IFERROR(__xludf.DUMMYFUNCTION("""COMPUTED_VALUE"""),45582.66666666667)</f>
        <v>45582.66667</v>
      </c>
      <c r="H897" s="1">
        <f>IFERROR(__xludf.DUMMYFUNCTION("""COMPUTED_VALUE"""),151.2)</f>
        <v>151.2</v>
      </c>
      <c r="I897" s="5">
        <f t="shared" si="1"/>
        <v>0.01227654534</v>
      </c>
      <c r="K897" s="5">
        <f t="shared" si="2"/>
        <v>0.003455557689</v>
      </c>
      <c r="L897" s="5">
        <f t="shared" si="3"/>
        <v>-0.002825093477</v>
      </c>
      <c r="M897" s="5">
        <f t="shared" si="4"/>
        <v>-0.002976190476</v>
      </c>
      <c r="Q897" s="5"/>
    </row>
    <row r="898">
      <c r="A898" s="4">
        <f>IFERROR(__xludf.DUMMYFUNCTION("""COMPUTED_VALUE"""),45583.66666666667)</f>
        <v>45583.66667</v>
      </c>
      <c r="B898" s="1">
        <f>IFERROR(__xludf.DUMMYFUNCTION("""COMPUTED_VALUE"""),235.0)</f>
        <v>235</v>
      </c>
      <c r="C898" s="4">
        <f>IFERROR(__xludf.DUMMYFUNCTION("""COMPUTED_VALUE"""),45583.66666666667)</f>
        <v>45583.66667</v>
      </c>
      <c r="D898" s="1">
        <f>IFERROR(__xludf.DUMMYFUNCTION("""COMPUTED_VALUE"""),418.16)</f>
        <v>418.16</v>
      </c>
      <c r="E898" s="4">
        <f>IFERROR(__xludf.DUMMYFUNCTION("""COMPUTED_VALUE"""),45583.66666666667)</f>
        <v>45583.66667</v>
      </c>
      <c r="F898" s="1">
        <f>IFERROR(__xludf.DUMMYFUNCTION("""COMPUTED_VALUE"""),120.01)</f>
        <v>120.01</v>
      </c>
      <c r="G898" s="4">
        <f>IFERROR(__xludf.DUMMYFUNCTION("""COMPUTED_VALUE"""),45583.66666666667)</f>
        <v>45583.66667</v>
      </c>
      <c r="H898" s="1">
        <f>IFERROR(__xludf.DUMMYFUNCTION("""COMPUTED_VALUE"""),150.75)</f>
        <v>150.75</v>
      </c>
      <c r="I898" s="5">
        <f t="shared" si="1"/>
        <v>0.00629787234</v>
      </c>
      <c r="K898" s="5">
        <f t="shared" si="2"/>
        <v>0.001482686053</v>
      </c>
      <c r="L898" s="5">
        <f t="shared" si="3"/>
        <v>0.0005832847263</v>
      </c>
      <c r="M898" s="5">
        <f t="shared" si="4"/>
        <v>0.0008623548922</v>
      </c>
      <c r="Q898" s="5"/>
    </row>
    <row r="899">
      <c r="A899" s="4">
        <f>IFERROR(__xludf.DUMMYFUNCTION("""COMPUTED_VALUE"""),45586.66666666667)</f>
        <v>45586.66667</v>
      </c>
      <c r="B899" s="1">
        <f>IFERROR(__xludf.DUMMYFUNCTION("""COMPUTED_VALUE"""),236.48)</f>
        <v>236.48</v>
      </c>
      <c r="C899" s="4">
        <f>IFERROR(__xludf.DUMMYFUNCTION("""COMPUTED_VALUE"""),45586.66666666667)</f>
        <v>45586.66667</v>
      </c>
      <c r="D899" s="1">
        <f>IFERROR(__xludf.DUMMYFUNCTION("""COMPUTED_VALUE"""),418.78)</f>
        <v>418.78</v>
      </c>
      <c r="E899" s="4">
        <f>IFERROR(__xludf.DUMMYFUNCTION("""COMPUTED_VALUE"""),45586.66666666667)</f>
        <v>45586.66667</v>
      </c>
      <c r="F899" s="1">
        <f>IFERROR(__xludf.DUMMYFUNCTION("""COMPUTED_VALUE"""),120.08)</f>
        <v>120.08</v>
      </c>
      <c r="G899" s="4">
        <f>IFERROR(__xludf.DUMMYFUNCTION("""COMPUTED_VALUE"""),45586.66666666667)</f>
        <v>45586.66667</v>
      </c>
      <c r="H899" s="1">
        <f>IFERROR(__xludf.DUMMYFUNCTION("""COMPUTED_VALUE"""),150.88)</f>
        <v>150.88</v>
      </c>
      <c r="I899" s="5">
        <f t="shared" si="1"/>
        <v>-0.002621786198</v>
      </c>
      <c r="K899" s="5">
        <f t="shared" si="2"/>
        <v>0.02084626773</v>
      </c>
      <c r="L899" s="5">
        <f t="shared" si="3"/>
        <v>0.005163224517</v>
      </c>
      <c r="M899" s="5">
        <f t="shared" si="4"/>
        <v>0.0002651113468</v>
      </c>
      <c r="Q899" s="5"/>
    </row>
    <row r="900">
      <c r="A900" s="4">
        <f>IFERROR(__xludf.DUMMYFUNCTION("""COMPUTED_VALUE"""),45587.66666666667)</f>
        <v>45587.66667</v>
      </c>
      <c r="B900" s="1">
        <f>IFERROR(__xludf.DUMMYFUNCTION("""COMPUTED_VALUE"""),235.86)</f>
        <v>235.86</v>
      </c>
      <c r="C900" s="4">
        <f>IFERROR(__xludf.DUMMYFUNCTION("""COMPUTED_VALUE"""),45587.66666666667)</f>
        <v>45587.66667</v>
      </c>
      <c r="D900" s="1">
        <f>IFERROR(__xludf.DUMMYFUNCTION("""COMPUTED_VALUE"""),427.51)</f>
        <v>427.51</v>
      </c>
      <c r="E900" s="4">
        <f>IFERROR(__xludf.DUMMYFUNCTION("""COMPUTED_VALUE"""),45587.66666666667)</f>
        <v>45587.66667</v>
      </c>
      <c r="F900" s="1">
        <f>IFERROR(__xludf.DUMMYFUNCTION("""COMPUTED_VALUE"""),120.7)</f>
        <v>120.7</v>
      </c>
      <c r="G900" s="4">
        <f>IFERROR(__xludf.DUMMYFUNCTION("""COMPUTED_VALUE"""),45587.66666666667)</f>
        <v>45587.66667</v>
      </c>
      <c r="H900" s="1">
        <f>IFERROR(__xludf.DUMMYFUNCTION("""COMPUTED_VALUE"""),150.92)</f>
        <v>150.92</v>
      </c>
      <c r="I900" s="5">
        <f t="shared" si="1"/>
        <v>-0.02162299669</v>
      </c>
      <c r="K900" s="5">
        <f t="shared" si="2"/>
        <v>-0.006806858319</v>
      </c>
      <c r="L900" s="5">
        <f t="shared" si="3"/>
        <v>-0.003562551781</v>
      </c>
      <c r="M900" s="5">
        <f t="shared" si="4"/>
        <v>-0.002915451895</v>
      </c>
      <c r="Q900" s="5"/>
    </row>
    <row r="901">
      <c r="A901" s="4">
        <f>IFERROR(__xludf.DUMMYFUNCTION("""COMPUTED_VALUE"""),45588.66666666667)</f>
        <v>45588.66667</v>
      </c>
      <c r="B901" s="1">
        <f>IFERROR(__xludf.DUMMYFUNCTION("""COMPUTED_VALUE"""),230.76)</f>
        <v>230.76</v>
      </c>
      <c r="C901" s="4">
        <f>IFERROR(__xludf.DUMMYFUNCTION("""COMPUTED_VALUE"""),45588.66666666667)</f>
        <v>45588.66667</v>
      </c>
      <c r="D901" s="1">
        <f>IFERROR(__xludf.DUMMYFUNCTION("""COMPUTED_VALUE"""),424.6)</f>
        <v>424.6</v>
      </c>
      <c r="E901" s="4">
        <f>IFERROR(__xludf.DUMMYFUNCTION("""COMPUTED_VALUE"""),45588.66666666667)</f>
        <v>45588.66667</v>
      </c>
      <c r="F901" s="1">
        <f>IFERROR(__xludf.DUMMYFUNCTION("""COMPUTED_VALUE"""),120.27)</f>
        <v>120.27</v>
      </c>
      <c r="G901" s="4">
        <f>IFERROR(__xludf.DUMMYFUNCTION("""COMPUTED_VALUE"""),45588.66666666667)</f>
        <v>45588.66667</v>
      </c>
      <c r="H901" s="1">
        <f>IFERROR(__xludf.DUMMYFUNCTION("""COMPUTED_VALUE"""),150.48)</f>
        <v>150.48</v>
      </c>
      <c r="I901" s="5">
        <f t="shared" si="1"/>
        <v>-0.000823366268</v>
      </c>
      <c r="K901" s="5">
        <f t="shared" si="2"/>
        <v>0.0003061705134</v>
      </c>
      <c r="L901" s="5">
        <f t="shared" si="3"/>
        <v>-0.00565394529</v>
      </c>
      <c r="M901" s="5">
        <f t="shared" si="4"/>
        <v>-0.0001993620415</v>
      </c>
      <c r="Q901" s="5"/>
    </row>
    <row r="902">
      <c r="A902" s="4">
        <f>IFERROR(__xludf.DUMMYFUNCTION("""COMPUTED_VALUE"""),45589.66666666667)</f>
        <v>45589.66667</v>
      </c>
      <c r="B902" s="1">
        <f>IFERROR(__xludf.DUMMYFUNCTION("""COMPUTED_VALUE"""),230.57)</f>
        <v>230.57</v>
      </c>
      <c r="C902" s="4">
        <f>IFERROR(__xludf.DUMMYFUNCTION("""COMPUTED_VALUE"""),45589.66666666667)</f>
        <v>45589.66667</v>
      </c>
      <c r="D902" s="1">
        <f>IFERROR(__xludf.DUMMYFUNCTION("""COMPUTED_VALUE"""),424.73)</f>
        <v>424.73</v>
      </c>
      <c r="E902" s="4">
        <f>IFERROR(__xludf.DUMMYFUNCTION("""COMPUTED_VALUE"""),45589.66666666667)</f>
        <v>45589.66667</v>
      </c>
      <c r="F902" s="1">
        <f>IFERROR(__xludf.DUMMYFUNCTION("""COMPUTED_VALUE"""),119.59)</f>
        <v>119.59</v>
      </c>
      <c r="G902" s="4">
        <f>IFERROR(__xludf.DUMMYFUNCTION("""COMPUTED_VALUE"""),45589.66666666667)</f>
        <v>45589.66667</v>
      </c>
      <c r="H902" s="1">
        <f>IFERROR(__xludf.DUMMYFUNCTION("""COMPUTED_VALUE"""),150.45)</f>
        <v>150.45</v>
      </c>
      <c r="I902" s="5">
        <f t="shared" si="1"/>
        <v>0.003643145249</v>
      </c>
      <c r="K902" s="5">
        <f t="shared" si="2"/>
        <v>0.008052174323</v>
      </c>
      <c r="L902" s="5">
        <f t="shared" si="3"/>
        <v>-0.0008361903169</v>
      </c>
      <c r="M902" s="5">
        <f t="shared" si="4"/>
        <v>0.002392821535</v>
      </c>
      <c r="Q902" s="5"/>
    </row>
    <row r="903">
      <c r="A903" s="4">
        <f>IFERROR(__xludf.DUMMYFUNCTION("""COMPUTED_VALUE"""),45590.66666666667)</f>
        <v>45590.66667</v>
      </c>
      <c r="B903" s="1">
        <f>IFERROR(__xludf.DUMMYFUNCTION("""COMPUTED_VALUE"""),231.41)</f>
        <v>231.41</v>
      </c>
      <c r="C903" s="4">
        <f>IFERROR(__xludf.DUMMYFUNCTION("""COMPUTED_VALUE"""),45590.66666666667)</f>
        <v>45590.66667</v>
      </c>
      <c r="D903" s="1">
        <f>IFERROR(__xludf.DUMMYFUNCTION("""COMPUTED_VALUE"""),428.15)</f>
        <v>428.15</v>
      </c>
      <c r="E903" s="4">
        <f>IFERROR(__xludf.DUMMYFUNCTION("""COMPUTED_VALUE"""),45590.66666666667)</f>
        <v>45590.66667</v>
      </c>
      <c r="F903" s="1">
        <f>IFERROR(__xludf.DUMMYFUNCTION("""COMPUTED_VALUE"""),119.49)</f>
        <v>119.49</v>
      </c>
      <c r="G903" s="4">
        <f>IFERROR(__xludf.DUMMYFUNCTION("""COMPUTED_VALUE"""),45590.66666666667)</f>
        <v>45590.66667</v>
      </c>
      <c r="H903" s="1">
        <f>IFERROR(__xludf.DUMMYFUNCTION("""COMPUTED_VALUE"""),150.81)</f>
        <v>150.81</v>
      </c>
      <c r="I903" s="5">
        <f t="shared" si="1"/>
        <v>0.008599455512</v>
      </c>
      <c r="K903" s="5">
        <f t="shared" si="2"/>
        <v>-0.003643582856</v>
      </c>
      <c r="L903" s="5">
        <f t="shared" si="3"/>
        <v>-0.004937651686</v>
      </c>
      <c r="M903" s="5">
        <f t="shared" si="4"/>
        <v>-0.001790332206</v>
      </c>
      <c r="Q903" s="5"/>
    </row>
    <row r="904">
      <c r="A904" s="4">
        <f>IFERROR(__xludf.DUMMYFUNCTION("""COMPUTED_VALUE"""),45593.66666666667)</f>
        <v>45593.66667</v>
      </c>
      <c r="B904" s="1">
        <f>IFERROR(__xludf.DUMMYFUNCTION("""COMPUTED_VALUE"""),233.4)</f>
        <v>233.4</v>
      </c>
      <c r="C904" s="4">
        <f>IFERROR(__xludf.DUMMYFUNCTION("""COMPUTED_VALUE"""),45593.66666666667)</f>
        <v>45593.66667</v>
      </c>
      <c r="D904" s="1">
        <f>IFERROR(__xludf.DUMMYFUNCTION("""COMPUTED_VALUE"""),426.59)</f>
        <v>426.59</v>
      </c>
      <c r="E904" s="4">
        <f>IFERROR(__xludf.DUMMYFUNCTION("""COMPUTED_VALUE"""),45593.66666666667)</f>
        <v>45593.66667</v>
      </c>
      <c r="F904" s="1">
        <f>IFERROR(__xludf.DUMMYFUNCTION("""COMPUTED_VALUE"""),118.9)</f>
        <v>118.9</v>
      </c>
      <c r="G904" s="4">
        <f>IFERROR(__xludf.DUMMYFUNCTION("""COMPUTED_VALUE"""),45593.66666666667)</f>
        <v>45593.66667</v>
      </c>
      <c r="H904" s="1">
        <f>IFERROR(__xludf.DUMMYFUNCTION("""COMPUTED_VALUE"""),150.54)</f>
        <v>150.54</v>
      </c>
      <c r="I904" s="5">
        <f t="shared" si="1"/>
        <v>0.001156812339</v>
      </c>
      <c r="K904" s="5">
        <f t="shared" si="2"/>
        <v>0.01256475773</v>
      </c>
      <c r="L904" s="5">
        <f t="shared" si="3"/>
        <v>-0.01362489487</v>
      </c>
      <c r="M904" s="5">
        <f t="shared" si="4"/>
        <v>-0.01341836057</v>
      </c>
      <c r="Q904" s="5"/>
    </row>
    <row r="905">
      <c r="A905" s="4">
        <f>IFERROR(__xludf.DUMMYFUNCTION("""COMPUTED_VALUE"""),45594.66666666667)</f>
        <v>45594.66667</v>
      </c>
      <c r="B905" s="1">
        <f>IFERROR(__xludf.DUMMYFUNCTION("""COMPUTED_VALUE"""),233.67)</f>
        <v>233.67</v>
      </c>
      <c r="C905" s="4">
        <f>IFERROR(__xludf.DUMMYFUNCTION("""COMPUTED_VALUE"""),45594.66666666667)</f>
        <v>45594.66667</v>
      </c>
      <c r="D905" s="1">
        <f>IFERROR(__xludf.DUMMYFUNCTION("""COMPUTED_VALUE"""),431.95)</f>
        <v>431.95</v>
      </c>
      <c r="E905" s="4">
        <f>IFERROR(__xludf.DUMMYFUNCTION("""COMPUTED_VALUE"""),45594.66666666667)</f>
        <v>45594.66667</v>
      </c>
      <c r="F905" s="1">
        <f>IFERROR(__xludf.DUMMYFUNCTION("""COMPUTED_VALUE"""),117.28)</f>
        <v>117.28</v>
      </c>
      <c r="G905" s="4">
        <f>IFERROR(__xludf.DUMMYFUNCTION("""COMPUTED_VALUE"""),45594.66666666667)</f>
        <v>45594.66667</v>
      </c>
      <c r="H905" s="1">
        <f>IFERROR(__xludf.DUMMYFUNCTION("""COMPUTED_VALUE"""),148.52)</f>
        <v>148.52</v>
      </c>
      <c r="I905" s="5">
        <f t="shared" si="1"/>
        <v>-0.01527795609</v>
      </c>
      <c r="K905" s="5">
        <f t="shared" si="2"/>
        <v>0.001342748003</v>
      </c>
      <c r="L905" s="5">
        <f t="shared" si="3"/>
        <v>-0.005030695771</v>
      </c>
      <c r="M905" s="5">
        <f t="shared" si="4"/>
        <v>-0.003164556962</v>
      </c>
      <c r="Q905" s="5"/>
    </row>
    <row r="906">
      <c r="A906" s="4">
        <f>IFERROR(__xludf.DUMMYFUNCTION("""COMPUTED_VALUE"""),45595.66666666667)</f>
        <v>45595.66667</v>
      </c>
      <c r="B906" s="1">
        <f>IFERROR(__xludf.DUMMYFUNCTION("""COMPUTED_VALUE"""),230.1)</f>
        <v>230.1</v>
      </c>
      <c r="C906" s="4">
        <f>IFERROR(__xludf.DUMMYFUNCTION("""COMPUTED_VALUE"""),45595.66666666667)</f>
        <v>45595.66667</v>
      </c>
      <c r="D906" s="1">
        <f>IFERROR(__xludf.DUMMYFUNCTION("""COMPUTED_VALUE"""),432.53)</f>
        <v>432.53</v>
      </c>
      <c r="E906" s="4">
        <f>IFERROR(__xludf.DUMMYFUNCTION("""COMPUTED_VALUE"""),45595.66666666667)</f>
        <v>45595.66667</v>
      </c>
      <c r="F906" s="1">
        <f>IFERROR(__xludf.DUMMYFUNCTION("""COMPUTED_VALUE"""),116.69)</f>
        <v>116.69</v>
      </c>
      <c r="G906" s="4">
        <f>IFERROR(__xludf.DUMMYFUNCTION("""COMPUTED_VALUE"""),45595.66666666667)</f>
        <v>45595.66667</v>
      </c>
      <c r="H906" s="1">
        <f>IFERROR(__xludf.DUMMYFUNCTION("""COMPUTED_VALUE"""),148.05)</f>
        <v>148.05</v>
      </c>
      <c r="I906" s="5">
        <f t="shared" si="1"/>
        <v>-0.01820947414</v>
      </c>
      <c r="K906" s="5">
        <f t="shared" si="2"/>
        <v>-0.06052759346</v>
      </c>
      <c r="L906" s="5">
        <f t="shared" si="3"/>
        <v>0.0007712743166</v>
      </c>
      <c r="M906" s="5">
        <f t="shared" si="4"/>
        <v>0.005200945626</v>
      </c>
      <c r="Q906" s="5"/>
    </row>
    <row r="907">
      <c r="A907" s="4">
        <f>IFERROR(__xludf.DUMMYFUNCTION("""COMPUTED_VALUE"""),45596.66666666667)</f>
        <v>45596.66667</v>
      </c>
      <c r="B907" s="1">
        <f>IFERROR(__xludf.DUMMYFUNCTION("""COMPUTED_VALUE"""),225.91)</f>
        <v>225.91</v>
      </c>
      <c r="C907" s="4">
        <f>IFERROR(__xludf.DUMMYFUNCTION("""COMPUTED_VALUE"""),45596.66666666667)</f>
        <v>45596.66667</v>
      </c>
      <c r="D907" s="1">
        <f>IFERROR(__xludf.DUMMYFUNCTION("""COMPUTED_VALUE"""),406.35)</f>
        <v>406.35</v>
      </c>
      <c r="E907" s="4">
        <f>IFERROR(__xludf.DUMMYFUNCTION("""COMPUTED_VALUE"""),45596.66666666667)</f>
        <v>45596.66667</v>
      </c>
      <c r="F907" s="1">
        <f>IFERROR(__xludf.DUMMYFUNCTION("""COMPUTED_VALUE"""),116.78)</f>
        <v>116.78</v>
      </c>
      <c r="G907" s="4">
        <f>IFERROR(__xludf.DUMMYFUNCTION("""COMPUTED_VALUE"""),45596.66666666667)</f>
        <v>45596.66667</v>
      </c>
      <c r="H907" s="1">
        <f>IFERROR(__xludf.DUMMYFUNCTION("""COMPUTED_VALUE"""),148.82)</f>
        <v>148.82</v>
      </c>
      <c r="I907" s="5">
        <f t="shared" si="1"/>
        <v>-0.01327962463</v>
      </c>
      <c r="K907" s="5">
        <f t="shared" si="2"/>
        <v>0.009892949428</v>
      </c>
      <c r="L907" s="5">
        <f t="shared" si="3"/>
        <v>-0.01567049152</v>
      </c>
      <c r="M907" s="5">
        <f t="shared" si="4"/>
        <v>0.02855798952</v>
      </c>
      <c r="Q907" s="5"/>
    </row>
    <row r="908">
      <c r="A908" s="4">
        <f>IFERROR(__xludf.DUMMYFUNCTION("""COMPUTED_VALUE"""),45597.66666666667)</f>
        <v>45597.66667</v>
      </c>
      <c r="B908" s="1">
        <f>IFERROR(__xludf.DUMMYFUNCTION("""COMPUTED_VALUE"""),222.91)</f>
        <v>222.91</v>
      </c>
      <c r="C908" s="4">
        <f>IFERROR(__xludf.DUMMYFUNCTION("""COMPUTED_VALUE"""),45597.66666666667)</f>
        <v>45597.66667</v>
      </c>
      <c r="D908" s="1">
        <f>IFERROR(__xludf.DUMMYFUNCTION("""COMPUTED_VALUE"""),410.37)</f>
        <v>410.37</v>
      </c>
      <c r="E908" s="4">
        <f>IFERROR(__xludf.DUMMYFUNCTION("""COMPUTED_VALUE"""),45597.66666666667)</f>
        <v>45597.66667</v>
      </c>
      <c r="F908" s="1">
        <f>IFERROR(__xludf.DUMMYFUNCTION("""COMPUTED_VALUE"""),114.95)</f>
        <v>114.95</v>
      </c>
      <c r="G908" s="4">
        <f>IFERROR(__xludf.DUMMYFUNCTION("""COMPUTED_VALUE"""),45597.66666666667)</f>
        <v>45597.66667</v>
      </c>
      <c r="H908" s="1">
        <f>IFERROR(__xludf.DUMMYFUNCTION("""COMPUTED_VALUE"""),153.07)</f>
        <v>153.07</v>
      </c>
      <c r="I908" s="5">
        <f t="shared" si="1"/>
        <v>-0.004037503925</v>
      </c>
      <c r="K908" s="5">
        <f t="shared" si="2"/>
        <v>-0.004654336331</v>
      </c>
      <c r="L908" s="5">
        <f t="shared" si="3"/>
        <v>0.0318399304</v>
      </c>
      <c r="M908" s="5">
        <f t="shared" si="4"/>
        <v>0.005879662899</v>
      </c>
      <c r="Q908" s="5"/>
    </row>
    <row r="909">
      <c r="A909" s="4">
        <f>IFERROR(__xludf.DUMMYFUNCTION("""COMPUTED_VALUE"""),45600.66666666667)</f>
        <v>45600.66667</v>
      </c>
      <c r="B909" s="1">
        <f>IFERROR(__xludf.DUMMYFUNCTION("""COMPUTED_VALUE"""),222.01)</f>
        <v>222.01</v>
      </c>
      <c r="C909" s="4">
        <f>IFERROR(__xludf.DUMMYFUNCTION("""COMPUTED_VALUE"""),45600.66666666667)</f>
        <v>45600.66667</v>
      </c>
      <c r="D909" s="1">
        <f>IFERROR(__xludf.DUMMYFUNCTION("""COMPUTED_VALUE"""),408.46)</f>
        <v>408.46</v>
      </c>
      <c r="E909" s="4">
        <f>IFERROR(__xludf.DUMMYFUNCTION("""COMPUTED_VALUE"""),45600.66666666667)</f>
        <v>45600.66667</v>
      </c>
      <c r="F909" s="1">
        <f>IFERROR(__xludf.DUMMYFUNCTION("""COMPUTED_VALUE"""),118.61)</f>
        <v>118.61</v>
      </c>
      <c r="G909" s="4">
        <f>IFERROR(__xludf.DUMMYFUNCTION("""COMPUTED_VALUE"""),45600.66666666667)</f>
        <v>45600.66667</v>
      </c>
      <c r="H909" s="1">
        <f>IFERROR(__xludf.DUMMYFUNCTION("""COMPUTED_VALUE"""),153.97)</f>
        <v>153.97</v>
      </c>
      <c r="I909" s="5">
        <f t="shared" si="1"/>
        <v>0.006486194316</v>
      </c>
      <c r="K909" s="5">
        <f t="shared" si="2"/>
        <v>0.007344660432</v>
      </c>
      <c r="L909" s="5">
        <f t="shared" si="3"/>
        <v>0.002950847315</v>
      </c>
      <c r="M909" s="5">
        <f t="shared" si="4"/>
        <v>-0.003637072157</v>
      </c>
      <c r="Q909" s="5"/>
    </row>
    <row r="910">
      <c r="A910" s="4">
        <f>IFERROR(__xludf.DUMMYFUNCTION("""COMPUTED_VALUE"""),45601.66666666667)</f>
        <v>45601.66667</v>
      </c>
      <c r="B910" s="1">
        <f>IFERROR(__xludf.DUMMYFUNCTION("""COMPUTED_VALUE"""),223.45)</f>
        <v>223.45</v>
      </c>
      <c r="C910" s="4">
        <f>IFERROR(__xludf.DUMMYFUNCTION("""COMPUTED_VALUE"""),45601.66666666667)</f>
        <v>45601.66667</v>
      </c>
      <c r="D910" s="1">
        <f>IFERROR(__xludf.DUMMYFUNCTION("""COMPUTED_VALUE"""),411.46)</f>
        <v>411.46</v>
      </c>
      <c r="E910" s="4">
        <f>IFERROR(__xludf.DUMMYFUNCTION("""COMPUTED_VALUE"""),45601.66666666667)</f>
        <v>45601.66667</v>
      </c>
      <c r="F910" s="1">
        <f>IFERROR(__xludf.DUMMYFUNCTION("""COMPUTED_VALUE"""),118.96)</f>
        <v>118.96</v>
      </c>
      <c r="G910" s="4">
        <f>IFERROR(__xludf.DUMMYFUNCTION("""COMPUTED_VALUE"""),45601.66666666667)</f>
        <v>45601.66667</v>
      </c>
      <c r="H910" s="1">
        <f>IFERROR(__xludf.DUMMYFUNCTION("""COMPUTED_VALUE"""),153.41)</f>
        <v>153.41</v>
      </c>
      <c r="I910" s="5">
        <f t="shared" si="1"/>
        <v>-0.003266950101</v>
      </c>
      <c r="K910" s="5">
        <f t="shared" si="2"/>
        <v>0.02119282555</v>
      </c>
      <c r="L910" s="5">
        <f t="shared" si="3"/>
        <v>0.01714862139</v>
      </c>
      <c r="M910" s="5">
        <f t="shared" si="4"/>
        <v>0.02809464833</v>
      </c>
      <c r="Q910" s="5"/>
    </row>
    <row r="911">
      <c r="A911" s="4">
        <f>IFERROR(__xludf.DUMMYFUNCTION("""COMPUTED_VALUE"""),45602.66666666667)</f>
        <v>45602.66667</v>
      </c>
      <c r="B911" s="1">
        <f>IFERROR(__xludf.DUMMYFUNCTION("""COMPUTED_VALUE"""),222.72)</f>
        <v>222.72</v>
      </c>
      <c r="C911" s="4">
        <f>IFERROR(__xludf.DUMMYFUNCTION("""COMPUTED_VALUE"""),45602.66666666667)</f>
        <v>45602.66667</v>
      </c>
      <c r="D911" s="1">
        <f>IFERROR(__xludf.DUMMYFUNCTION("""COMPUTED_VALUE"""),420.18)</f>
        <v>420.18</v>
      </c>
      <c r="E911" s="4">
        <f>IFERROR(__xludf.DUMMYFUNCTION("""COMPUTED_VALUE"""),45602.66666666667)</f>
        <v>45602.66667</v>
      </c>
      <c r="F911" s="1">
        <f>IFERROR(__xludf.DUMMYFUNCTION("""COMPUTED_VALUE"""),121.0)</f>
        <v>121</v>
      </c>
      <c r="G911" s="4">
        <f>IFERROR(__xludf.DUMMYFUNCTION("""COMPUTED_VALUE"""),45602.66666666667)</f>
        <v>45602.66667</v>
      </c>
      <c r="H911" s="1">
        <f>IFERROR(__xludf.DUMMYFUNCTION("""COMPUTED_VALUE"""),157.72)</f>
        <v>157.72</v>
      </c>
      <c r="I911" s="5">
        <f t="shared" si="1"/>
        <v>0.02137212644</v>
      </c>
      <c r="K911" s="5">
        <f t="shared" si="2"/>
        <v>0.01249464515</v>
      </c>
      <c r="L911" s="5">
        <f t="shared" si="3"/>
        <v>0.001239669421</v>
      </c>
      <c r="M911" s="5">
        <f t="shared" si="4"/>
        <v>-0.006023332488</v>
      </c>
      <c r="Q911" s="5"/>
    </row>
    <row r="912">
      <c r="A912" s="4">
        <f>IFERROR(__xludf.DUMMYFUNCTION("""COMPUTED_VALUE"""),45603.66666666667)</f>
        <v>45603.66667</v>
      </c>
      <c r="B912" s="1">
        <f>IFERROR(__xludf.DUMMYFUNCTION("""COMPUTED_VALUE"""),227.48)</f>
        <v>227.48</v>
      </c>
      <c r="C912" s="4">
        <f>IFERROR(__xludf.DUMMYFUNCTION("""COMPUTED_VALUE"""),45603.66666666667)</f>
        <v>45603.66667</v>
      </c>
      <c r="D912" s="1">
        <f>IFERROR(__xludf.DUMMYFUNCTION("""COMPUTED_VALUE"""),425.43)</f>
        <v>425.43</v>
      </c>
      <c r="E912" s="4">
        <f>IFERROR(__xludf.DUMMYFUNCTION("""COMPUTED_VALUE"""),45603.66666666667)</f>
        <v>45603.66667</v>
      </c>
      <c r="F912" s="1">
        <f>IFERROR(__xludf.DUMMYFUNCTION("""COMPUTED_VALUE"""),121.15)</f>
        <v>121.15</v>
      </c>
      <c r="G912" s="4">
        <f>IFERROR(__xludf.DUMMYFUNCTION("""COMPUTED_VALUE"""),45603.66666666667)</f>
        <v>45603.66667</v>
      </c>
      <c r="H912" s="1">
        <f>IFERROR(__xludf.DUMMYFUNCTION("""COMPUTED_VALUE"""),156.77)</f>
        <v>156.77</v>
      </c>
      <c r="I912" s="5">
        <f t="shared" si="1"/>
        <v>-0.002285915245</v>
      </c>
      <c r="K912" s="5">
        <f t="shared" si="2"/>
        <v>-0.006793126954</v>
      </c>
      <c r="L912" s="5">
        <f t="shared" si="3"/>
        <v>-0.0003301692117</v>
      </c>
      <c r="M912" s="5">
        <f t="shared" si="4"/>
        <v>0.001020603432</v>
      </c>
      <c r="Q912" s="5"/>
    </row>
    <row r="913">
      <c r="A913" s="4">
        <f>IFERROR(__xludf.DUMMYFUNCTION("""COMPUTED_VALUE"""),45604.66666666667)</f>
        <v>45604.66667</v>
      </c>
      <c r="B913" s="1">
        <f>IFERROR(__xludf.DUMMYFUNCTION("""COMPUTED_VALUE"""),226.96)</f>
        <v>226.96</v>
      </c>
      <c r="C913" s="4">
        <f>IFERROR(__xludf.DUMMYFUNCTION("""COMPUTED_VALUE"""),45604.66666666667)</f>
        <v>45604.66667</v>
      </c>
      <c r="D913" s="1">
        <f>IFERROR(__xludf.DUMMYFUNCTION("""COMPUTED_VALUE"""),422.54)</f>
        <v>422.54</v>
      </c>
      <c r="E913" s="4">
        <f>IFERROR(__xludf.DUMMYFUNCTION("""COMPUTED_VALUE"""),45604.66666666667)</f>
        <v>45604.66667</v>
      </c>
      <c r="F913" s="1">
        <f>IFERROR(__xludf.DUMMYFUNCTION("""COMPUTED_VALUE"""),121.11)</f>
        <v>121.11</v>
      </c>
      <c r="G913" s="4">
        <f>IFERROR(__xludf.DUMMYFUNCTION("""COMPUTED_VALUE"""),45604.66666666667)</f>
        <v>45604.66667</v>
      </c>
      <c r="H913" s="1">
        <f>IFERROR(__xludf.DUMMYFUNCTION("""COMPUTED_VALUE"""),156.93)</f>
        <v>156.93</v>
      </c>
      <c r="I913" s="5">
        <f t="shared" si="1"/>
        <v>-0.01202855129</v>
      </c>
      <c r="K913" s="5">
        <f t="shared" si="2"/>
        <v>-0.0107208785</v>
      </c>
      <c r="L913" s="5">
        <f t="shared" si="3"/>
        <v>-0.005284452151</v>
      </c>
      <c r="M913" s="5">
        <f t="shared" si="4"/>
        <v>-0.002740075193</v>
      </c>
      <c r="Q913" s="5"/>
    </row>
    <row r="914">
      <c r="A914" s="4">
        <f>IFERROR(__xludf.DUMMYFUNCTION("""COMPUTED_VALUE"""),45607.66666666667)</f>
        <v>45607.66667</v>
      </c>
      <c r="B914" s="1">
        <f>IFERROR(__xludf.DUMMYFUNCTION("""COMPUTED_VALUE"""),224.23)</f>
        <v>224.23</v>
      </c>
      <c r="C914" s="4">
        <f>IFERROR(__xludf.DUMMYFUNCTION("""COMPUTED_VALUE"""),45607.66666666667)</f>
        <v>45607.66667</v>
      </c>
      <c r="D914" s="1">
        <f>IFERROR(__xludf.DUMMYFUNCTION("""COMPUTED_VALUE"""),418.01)</f>
        <v>418.01</v>
      </c>
      <c r="E914" s="4">
        <f>IFERROR(__xludf.DUMMYFUNCTION("""COMPUTED_VALUE"""),45607.66666666667)</f>
        <v>45607.66667</v>
      </c>
      <c r="F914" s="1">
        <f>IFERROR(__xludf.DUMMYFUNCTION("""COMPUTED_VALUE"""),120.47)</f>
        <v>120.47</v>
      </c>
      <c r="G914" s="4">
        <f>IFERROR(__xludf.DUMMYFUNCTION("""COMPUTED_VALUE"""),45607.66666666667)</f>
        <v>45607.66667</v>
      </c>
      <c r="H914" s="1">
        <f>IFERROR(__xludf.DUMMYFUNCTION("""COMPUTED_VALUE"""),156.5)</f>
        <v>156.5</v>
      </c>
      <c r="I914" s="5">
        <f t="shared" si="1"/>
        <v>0</v>
      </c>
      <c r="K914" s="5">
        <f t="shared" si="2"/>
        <v>0.01200928207</v>
      </c>
      <c r="L914" s="5">
        <f t="shared" si="3"/>
        <v>-0.0009960986138</v>
      </c>
      <c r="M914" s="5">
        <f t="shared" si="4"/>
        <v>-0.007731629393</v>
      </c>
      <c r="Q914" s="5"/>
    </row>
    <row r="915">
      <c r="A915" s="4">
        <f>IFERROR(__xludf.DUMMYFUNCTION("""COMPUTED_VALUE"""),45608.66666666667)</f>
        <v>45608.66667</v>
      </c>
      <c r="B915" s="1">
        <f>IFERROR(__xludf.DUMMYFUNCTION("""COMPUTED_VALUE"""),224.23)</f>
        <v>224.23</v>
      </c>
      <c r="C915" s="4">
        <f>IFERROR(__xludf.DUMMYFUNCTION("""COMPUTED_VALUE"""),45608.66666666667)</f>
        <v>45608.66667</v>
      </c>
      <c r="D915" s="1">
        <f>IFERROR(__xludf.DUMMYFUNCTION("""COMPUTED_VALUE"""),423.03)</f>
        <v>423.03</v>
      </c>
      <c r="E915" s="4">
        <f>IFERROR(__xludf.DUMMYFUNCTION("""COMPUTED_VALUE"""),45608.66666666667)</f>
        <v>45608.66667</v>
      </c>
      <c r="F915" s="1">
        <f>IFERROR(__xludf.DUMMYFUNCTION("""COMPUTED_VALUE"""),120.35)</f>
        <v>120.35</v>
      </c>
      <c r="G915" s="4">
        <f>IFERROR(__xludf.DUMMYFUNCTION("""COMPUTED_VALUE"""),45608.66666666667)</f>
        <v>45608.66667</v>
      </c>
      <c r="H915" s="1">
        <f>IFERROR(__xludf.DUMMYFUNCTION("""COMPUTED_VALUE"""),155.29)</f>
        <v>155.29</v>
      </c>
      <c r="I915" s="5">
        <f t="shared" si="1"/>
        <v>0.003969138831</v>
      </c>
      <c r="K915" s="5">
        <f t="shared" si="2"/>
        <v>0.005129659835</v>
      </c>
      <c r="L915" s="5">
        <f t="shared" si="3"/>
        <v>0.009306190278</v>
      </c>
      <c r="M915" s="5">
        <f t="shared" si="4"/>
        <v>0.02208770687</v>
      </c>
      <c r="Q915" s="5"/>
    </row>
    <row r="916">
      <c r="A916" s="4">
        <f>IFERROR(__xludf.DUMMYFUNCTION("""COMPUTED_VALUE"""),45609.66666666667)</f>
        <v>45609.66667</v>
      </c>
      <c r="B916" s="1">
        <f>IFERROR(__xludf.DUMMYFUNCTION("""COMPUTED_VALUE"""),225.12)</f>
        <v>225.12</v>
      </c>
      <c r="C916" s="4">
        <f>IFERROR(__xludf.DUMMYFUNCTION("""COMPUTED_VALUE"""),45609.66666666667)</f>
        <v>45609.66667</v>
      </c>
      <c r="D916" s="1">
        <f>IFERROR(__xludf.DUMMYFUNCTION("""COMPUTED_VALUE"""),425.2)</f>
        <v>425.2</v>
      </c>
      <c r="E916" s="4">
        <f>IFERROR(__xludf.DUMMYFUNCTION("""COMPUTED_VALUE"""),45609.66666666667)</f>
        <v>45609.66667</v>
      </c>
      <c r="F916" s="1">
        <f>IFERROR(__xludf.DUMMYFUNCTION("""COMPUTED_VALUE"""),121.47)</f>
        <v>121.47</v>
      </c>
      <c r="G916" s="4">
        <f>IFERROR(__xludf.DUMMYFUNCTION("""COMPUTED_VALUE"""),45609.66666666667)</f>
        <v>45609.66667</v>
      </c>
      <c r="H916" s="1">
        <f>IFERROR(__xludf.DUMMYFUNCTION("""COMPUTED_VALUE"""),158.72)</f>
        <v>158.72</v>
      </c>
      <c r="I916" s="5">
        <f t="shared" si="1"/>
        <v>0.01377043355</v>
      </c>
      <c r="K916" s="5">
        <f t="shared" si="2"/>
        <v>0.003974600188</v>
      </c>
      <c r="L916" s="5">
        <f t="shared" si="3"/>
        <v>-0.007491561702</v>
      </c>
      <c r="M916" s="5">
        <f t="shared" si="4"/>
        <v>0.01940524194</v>
      </c>
      <c r="Q916" s="5"/>
    </row>
    <row r="917">
      <c r="A917" s="4">
        <f>IFERROR(__xludf.DUMMYFUNCTION("""COMPUTED_VALUE"""),45610.66666666667)</f>
        <v>45610.66667</v>
      </c>
      <c r="B917" s="1">
        <f>IFERROR(__xludf.DUMMYFUNCTION("""COMPUTED_VALUE"""),228.22)</f>
        <v>228.22</v>
      </c>
      <c r="C917" s="4">
        <f>IFERROR(__xludf.DUMMYFUNCTION("""COMPUTED_VALUE"""),45610.66666666667)</f>
        <v>45610.66667</v>
      </c>
      <c r="D917" s="1">
        <f>IFERROR(__xludf.DUMMYFUNCTION("""COMPUTED_VALUE"""),426.89)</f>
        <v>426.89</v>
      </c>
      <c r="E917" s="4">
        <f>IFERROR(__xludf.DUMMYFUNCTION("""COMPUTED_VALUE"""),45610.66666666667)</f>
        <v>45610.66667</v>
      </c>
      <c r="F917" s="1">
        <f>IFERROR(__xludf.DUMMYFUNCTION("""COMPUTED_VALUE"""),120.56)</f>
        <v>120.56</v>
      </c>
      <c r="G917" s="4">
        <f>IFERROR(__xludf.DUMMYFUNCTION("""COMPUTED_VALUE"""),45610.66666666667)</f>
        <v>45610.66667</v>
      </c>
      <c r="H917" s="1">
        <f>IFERROR(__xludf.DUMMYFUNCTION("""COMPUTED_VALUE"""),161.8)</f>
        <v>161.8</v>
      </c>
      <c r="I917" s="5">
        <f t="shared" si="1"/>
        <v>-0.01410919288</v>
      </c>
      <c r="K917" s="5">
        <f t="shared" si="2"/>
        <v>-0.0278526084</v>
      </c>
      <c r="L917" s="5">
        <f t="shared" si="3"/>
        <v>-0.01036828135</v>
      </c>
      <c r="M917" s="5">
        <f t="shared" si="4"/>
        <v>-0.002348578492</v>
      </c>
      <c r="Q917" s="5"/>
    </row>
    <row r="918">
      <c r="A918" s="4">
        <f>IFERROR(__xludf.DUMMYFUNCTION("""COMPUTED_VALUE"""),45611.66666666667)</f>
        <v>45611.66667</v>
      </c>
      <c r="B918" s="1">
        <f>IFERROR(__xludf.DUMMYFUNCTION("""COMPUTED_VALUE"""),225.0)</f>
        <v>225</v>
      </c>
      <c r="C918" s="4">
        <f>IFERROR(__xludf.DUMMYFUNCTION("""COMPUTED_VALUE"""),45611.66666666667)</f>
        <v>45611.66667</v>
      </c>
      <c r="D918" s="1">
        <f>IFERROR(__xludf.DUMMYFUNCTION("""COMPUTED_VALUE"""),415.0)</f>
        <v>415</v>
      </c>
      <c r="E918" s="4">
        <f>IFERROR(__xludf.DUMMYFUNCTION("""COMPUTED_VALUE"""),45611.66666666667)</f>
        <v>45611.66667</v>
      </c>
      <c r="F918" s="1">
        <f>IFERROR(__xludf.DUMMYFUNCTION("""COMPUTED_VALUE"""),119.31)</f>
        <v>119.31</v>
      </c>
      <c r="G918" s="4">
        <f>IFERROR(__xludf.DUMMYFUNCTION("""COMPUTED_VALUE"""),45611.66666666667)</f>
        <v>45611.66667</v>
      </c>
      <c r="H918" s="1">
        <f>IFERROR(__xludf.DUMMYFUNCTION("""COMPUTED_VALUE"""),161.42)</f>
        <v>161.42</v>
      </c>
      <c r="I918" s="5">
        <f t="shared" si="1"/>
        <v>0.01342222222</v>
      </c>
      <c r="K918" s="5">
        <f t="shared" si="2"/>
        <v>0.001831325301</v>
      </c>
      <c r="L918" s="5">
        <f t="shared" si="3"/>
        <v>0.008381527114</v>
      </c>
      <c r="M918" s="5">
        <f t="shared" si="4"/>
        <v>-0.004088712675</v>
      </c>
      <c r="Q918" s="5"/>
    </row>
    <row r="919">
      <c r="A919" s="4">
        <f>IFERROR(__xludf.DUMMYFUNCTION("""COMPUTED_VALUE"""),45614.66666666667)</f>
        <v>45614.66667</v>
      </c>
      <c r="B919" s="1">
        <f>IFERROR(__xludf.DUMMYFUNCTION("""COMPUTED_VALUE"""),228.02)</f>
        <v>228.02</v>
      </c>
      <c r="C919" s="4">
        <f>IFERROR(__xludf.DUMMYFUNCTION("""COMPUTED_VALUE"""),45614.66666666667)</f>
        <v>45614.66667</v>
      </c>
      <c r="D919" s="1">
        <f>IFERROR(__xludf.DUMMYFUNCTION("""COMPUTED_VALUE"""),415.76)</f>
        <v>415.76</v>
      </c>
      <c r="E919" s="4">
        <f>IFERROR(__xludf.DUMMYFUNCTION("""COMPUTED_VALUE"""),45614.66666666667)</f>
        <v>45614.66667</v>
      </c>
      <c r="F919" s="1">
        <f>IFERROR(__xludf.DUMMYFUNCTION("""COMPUTED_VALUE"""),120.31)</f>
        <v>120.31</v>
      </c>
      <c r="G919" s="4">
        <f>IFERROR(__xludf.DUMMYFUNCTION("""COMPUTED_VALUE"""),45614.66666666667)</f>
        <v>45614.66667</v>
      </c>
      <c r="H919" s="1">
        <f>IFERROR(__xludf.DUMMYFUNCTION("""COMPUTED_VALUE"""),160.76)</f>
        <v>160.76</v>
      </c>
      <c r="I919" s="5">
        <f t="shared" si="1"/>
        <v>0.001140250855</v>
      </c>
      <c r="K919" s="5">
        <f t="shared" si="2"/>
        <v>0.004882624591</v>
      </c>
      <c r="L919" s="5">
        <f t="shared" si="3"/>
        <v>-0.01396392652</v>
      </c>
      <c r="M919" s="5">
        <f t="shared" si="4"/>
        <v>-0.007215725305</v>
      </c>
      <c r="Q919" s="5"/>
    </row>
    <row r="920">
      <c r="A920" s="4">
        <f>IFERROR(__xludf.DUMMYFUNCTION("""COMPUTED_VALUE"""),45615.66666666667)</f>
        <v>45615.66667</v>
      </c>
      <c r="B920" s="1">
        <f>IFERROR(__xludf.DUMMYFUNCTION("""COMPUTED_VALUE"""),228.28)</f>
        <v>228.28</v>
      </c>
      <c r="C920" s="4">
        <f>IFERROR(__xludf.DUMMYFUNCTION("""COMPUTED_VALUE"""),45615.66666666667)</f>
        <v>45615.66667</v>
      </c>
      <c r="D920" s="1">
        <f>IFERROR(__xludf.DUMMYFUNCTION("""COMPUTED_VALUE"""),417.79)</f>
        <v>417.79</v>
      </c>
      <c r="E920" s="4">
        <f>IFERROR(__xludf.DUMMYFUNCTION("""COMPUTED_VALUE"""),45615.66666666667)</f>
        <v>45615.66667</v>
      </c>
      <c r="F920" s="1">
        <f>IFERROR(__xludf.DUMMYFUNCTION("""COMPUTED_VALUE"""),118.63)</f>
        <v>118.63</v>
      </c>
      <c r="G920" s="4">
        <f>IFERROR(__xludf.DUMMYFUNCTION("""COMPUTED_VALUE"""),45615.66666666667)</f>
        <v>45615.66667</v>
      </c>
      <c r="H920" s="1">
        <f>IFERROR(__xludf.DUMMYFUNCTION("""COMPUTED_VALUE"""),159.6)</f>
        <v>159.6</v>
      </c>
      <c r="I920" s="5">
        <f t="shared" si="1"/>
        <v>0.003154021377</v>
      </c>
      <c r="K920" s="5">
        <f t="shared" si="2"/>
        <v>-0.005505158094</v>
      </c>
      <c r="L920" s="5">
        <f t="shared" si="3"/>
        <v>0.01424597488</v>
      </c>
      <c r="M920" s="5">
        <f t="shared" si="4"/>
        <v>0.010839599</v>
      </c>
      <c r="Q920" s="5"/>
    </row>
    <row r="921">
      <c r="A921" s="4">
        <f>IFERROR(__xludf.DUMMYFUNCTION("""COMPUTED_VALUE"""),45616.66666666667)</f>
        <v>45616.66667</v>
      </c>
      <c r="B921" s="1">
        <f>IFERROR(__xludf.DUMMYFUNCTION("""COMPUTED_VALUE"""),229.0)</f>
        <v>229</v>
      </c>
      <c r="C921" s="4">
        <f>IFERROR(__xludf.DUMMYFUNCTION("""COMPUTED_VALUE"""),45616.66666666667)</f>
        <v>45616.66667</v>
      </c>
      <c r="D921" s="1">
        <f>IFERROR(__xludf.DUMMYFUNCTION("""COMPUTED_VALUE"""),415.49)</f>
        <v>415.49</v>
      </c>
      <c r="E921" s="4">
        <f>IFERROR(__xludf.DUMMYFUNCTION("""COMPUTED_VALUE"""),45616.66666666667)</f>
        <v>45616.66667</v>
      </c>
      <c r="F921" s="1">
        <f>IFERROR(__xludf.DUMMYFUNCTION("""COMPUTED_VALUE"""),120.32)</f>
        <v>120.32</v>
      </c>
      <c r="G921" s="4">
        <f>IFERROR(__xludf.DUMMYFUNCTION("""COMPUTED_VALUE"""),45616.66666666667)</f>
        <v>45616.66667</v>
      </c>
      <c r="H921" s="1">
        <f>IFERROR(__xludf.DUMMYFUNCTION("""COMPUTED_VALUE"""),161.33)</f>
        <v>161.33</v>
      </c>
      <c r="I921" s="5">
        <f t="shared" si="1"/>
        <v>-0.002096069869</v>
      </c>
      <c r="K921" s="5">
        <f t="shared" si="2"/>
        <v>-0.006305807601</v>
      </c>
      <c r="L921" s="5">
        <f t="shared" si="3"/>
        <v>0.01338098404</v>
      </c>
      <c r="M921" s="5">
        <f t="shared" si="4"/>
        <v>0.001859542553</v>
      </c>
      <c r="Q921" s="5"/>
    </row>
    <row r="922">
      <c r="A922" s="4">
        <f>IFERROR(__xludf.DUMMYFUNCTION("""COMPUTED_VALUE"""),45617.66666666667)</f>
        <v>45617.66667</v>
      </c>
      <c r="B922" s="1">
        <f>IFERROR(__xludf.DUMMYFUNCTION("""COMPUTED_VALUE"""),228.52)</f>
        <v>228.52</v>
      </c>
      <c r="C922" s="4">
        <f>IFERROR(__xludf.DUMMYFUNCTION("""COMPUTED_VALUE"""),45617.66666666667)</f>
        <v>45617.66667</v>
      </c>
      <c r="D922" s="1">
        <f>IFERROR(__xludf.DUMMYFUNCTION("""COMPUTED_VALUE"""),412.87)</f>
        <v>412.87</v>
      </c>
      <c r="E922" s="4">
        <f>IFERROR(__xludf.DUMMYFUNCTION("""COMPUTED_VALUE"""),45617.66666666667)</f>
        <v>45617.66667</v>
      </c>
      <c r="F922" s="1">
        <f>IFERROR(__xludf.DUMMYFUNCTION("""COMPUTED_VALUE"""),121.93)</f>
        <v>121.93</v>
      </c>
      <c r="G922" s="4">
        <f>IFERROR(__xludf.DUMMYFUNCTION("""COMPUTED_VALUE"""),45617.66666666667)</f>
        <v>45617.66667</v>
      </c>
      <c r="H922" s="1">
        <f>IFERROR(__xludf.DUMMYFUNCTION("""COMPUTED_VALUE"""),161.63)</f>
        <v>161.63</v>
      </c>
      <c r="I922" s="5">
        <f t="shared" si="1"/>
        <v>0.005907579205</v>
      </c>
      <c r="K922" s="5">
        <f t="shared" si="2"/>
        <v>0.01000314869</v>
      </c>
      <c r="L922" s="5">
        <f t="shared" si="3"/>
        <v>-0.001148199787</v>
      </c>
      <c r="M922" s="5">
        <f t="shared" si="4"/>
        <v>0.004516488276</v>
      </c>
      <c r="Q922" s="5"/>
    </row>
    <row r="923">
      <c r="A923" s="4">
        <f>IFERROR(__xludf.DUMMYFUNCTION("""COMPUTED_VALUE"""),45618.66666666667)</f>
        <v>45618.66667</v>
      </c>
      <c r="B923" s="1">
        <f>IFERROR(__xludf.DUMMYFUNCTION("""COMPUTED_VALUE"""),229.87)</f>
        <v>229.87</v>
      </c>
      <c r="C923" s="4">
        <f>IFERROR(__xludf.DUMMYFUNCTION("""COMPUTED_VALUE"""),45618.66666666667)</f>
        <v>45618.66667</v>
      </c>
      <c r="D923" s="1">
        <f>IFERROR(__xludf.DUMMYFUNCTION("""COMPUTED_VALUE"""),417.0)</f>
        <v>417</v>
      </c>
      <c r="E923" s="4">
        <f>IFERROR(__xludf.DUMMYFUNCTION("""COMPUTED_VALUE"""),45618.66666666667)</f>
        <v>45618.66667</v>
      </c>
      <c r="F923" s="1">
        <f>IFERROR(__xludf.DUMMYFUNCTION("""COMPUTED_VALUE"""),121.79)</f>
        <v>121.79</v>
      </c>
      <c r="G923" s="4">
        <f>IFERROR(__xludf.DUMMYFUNCTION("""COMPUTED_VALUE"""),45618.66666666667)</f>
        <v>45618.66667</v>
      </c>
      <c r="H923" s="1">
        <f>IFERROR(__xludf.DUMMYFUNCTION("""COMPUTED_VALUE"""),162.36)</f>
        <v>162.36</v>
      </c>
      <c r="I923" s="5">
        <f t="shared" si="1"/>
        <v>0.01305085483</v>
      </c>
      <c r="K923" s="5">
        <f t="shared" si="2"/>
        <v>0.004292565947</v>
      </c>
      <c r="L923" s="5">
        <f t="shared" si="3"/>
        <v>-0.01494375564</v>
      </c>
      <c r="M923" s="5">
        <f t="shared" si="4"/>
        <v>-0.012318305</v>
      </c>
      <c r="Q923" s="5"/>
    </row>
    <row r="924">
      <c r="A924" s="4">
        <f>IFERROR(__xludf.DUMMYFUNCTION("""COMPUTED_VALUE"""),45621.66666666667)</f>
        <v>45621.66667</v>
      </c>
      <c r="B924" s="1">
        <f>IFERROR(__xludf.DUMMYFUNCTION("""COMPUTED_VALUE"""),232.87)</f>
        <v>232.87</v>
      </c>
      <c r="C924" s="4">
        <f>IFERROR(__xludf.DUMMYFUNCTION("""COMPUTED_VALUE"""),45621.66666666667)</f>
        <v>45621.66667</v>
      </c>
      <c r="D924" s="1">
        <f>IFERROR(__xludf.DUMMYFUNCTION("""COMPUTED_VALUE"""),418.79)</f>
        <v>418.79</v>
      </c>
      <c r="E924" s="4">
        <f>IFERROR(__xludf.DUMMYFUNCTION("""COMPUTED_VALUE"""),45621.66666666667)</f>
        <v>45621.66667</v>
      </c>
      <c r="F924" s="1">
        <f>IFERROR(__xludf.DUMMYFUNCTION("""COMPUTED_VALUE"""),119.97)</f>
        <v>119.97</v>
      </c>
      <c r="G924" s="4">
        <f>IFERROR(__xludf.DUMMYFUNCTION("""COMPUTED_VALUE"""),45621.66666666667)</f>
        <v>45621.66667</v>
      </c>
      <c r="H924" s="1">
        <f>IFERROR(__xludf.DUMMYFUNCTION("""COMPUTED_VALUE"""),160.36)</f>
        <v>160.36</v>
      </c>
      <c r="I924" s="5">
        <f t="shared" si="1"/>
        <v>0.009404388715</v>
      </c>
      <c r="K924" s="5">
        <f t="shared" si="2"/>
        <v>0.02196805081</v>
      </c>
      <c r="L924" s="5">
        <f t="shared" si="3"/>
        <v>-0.01667083438</v>
      </c>
      <c r="M924" s="5">
        <f t="shared" si="4"/>
        <v>0.01353205288</v>
      </c>
      <c r="Q924" s="5"/>
    </row>
    <row r="925">
      <c r="A925" s="4">
        <f>IFERROR(__xludf.DUMMYFUNCTION("""COMPUTED_VALUE"""),45622.66666666667)</f>
        <v>45622.66667</v>
      </c>
      <c r="B925" s="1">
        <f>IFERROR(__xludf.DUMMYFUNCTION("""COMPUTED_VALUE"""),235.06)</f>
        <v>235.06</v>
      </c>
      <c r="C925" s="4">
        <f>IFERROR(__xludf.DUMMYFUNCTION("""COMPUTED_VALUE"""),45622.66666666667)</f>
        <v>45622.66667</v>
      </c>
      <c r="D925" s="1">
        <f>IFERROR(__xludf.DUMMYFUNCTION("""COMPUTED_VALUE"""),427.99)</f>
        <v>427.99</v>
      </c>
      <c r="E925" s="4">
        <f>IFERROR(__xludf.DUMMYFUNCTION("""COMPUTED_VALUE"""),45622.66666666667)</f>
        <v>45622.66667</v>
      </c>
      <c r="F925" s="1">
        <f>IFERROR(__xludf.DUMMYFUNCTION("""COMPUTED_VALUE"""),117.97)</f>
        <v>117.97</v>
      </c>
      <c r="G925" s="4">
        <f>IFERROR(__xludf.DUMMYFUNCTION("""COMPUTED_VALUE"""),45622.66666666667)</f>
        <v>45622.66667</v>
      </c>
      <c r="H925" s="1">
        <f>IFERROR(__xludf.DUMMYFUNCTION("""COMPUTED_VALUE"""),162.53)</f>
        <v>162.53</v>
      </c>
      <c r="I925" s="5">
        <f t="shared" si="1"/>
        <v>-0.000553050285</v>
      </c>
      <c r="K925" s="5">
        <f t="shared" si="2"/>
        <v>-0.01168251595</v>
      </c>
      <c r="L925" s="5">
        <f t="shared" si="3"/>
        <v>-0.002627786725</v>
      </c>
      <c r="M925" s="5">
        <f t="shared" si="4"/>
        <v>-0.002584138313</v>
      </c>
      <c r="Q925" s="5"/>
    </row>
    <row r="926">
      <c r="A926" s="4">
        <f>IFERROR(__xludf.DUMMYFUNCTION("""COMPUTED_VALUE"""),45623.66666666667)</f>
        <v>45623.66667</v>
      </c>
      <c r="B926" s="1">
        <f>IFERROR(__xludf.DUMMYFUNCTION("""COMPUTED_VALUE"""),234.93)</f>
        <v>234.93</v>
      </c>
      <c r="C926" s="4">
        <f>IFERROR(__xludf.DUMMYFUNCTION("""COMPUTED_VALUE"""),45623.66666666667)</f>
        <v>45623.66667</v>
      </c>
      <c r="D926" s="1">
        <f>IFERROR(__xludf.DUMMYFUNCTION("""COMPUTED_VALUE"""),422.99)</f>
        <v>422.99</v>
      </c>
      <c r="E926" s="4">
        <f>IFERROR(__xludf.DUMMYFUNCTION("""COMPUTED_VALUE"""),45623.66666666667)</f>
        <v>45623.66667</v>
      </c>
      <c r="F926" s="1">
        <f>IFERROR(__xludf.DUMMYFUNCTION("""COMPUTED_VALUE"""),117.66)</f>
        <v>117.66</v>
      </c>
      <c r="G926" s="4">
        <f>IFERROR(__xludf.DUMMYFUNCTION("""COMPUTED_VALUE"""),45623.66666666667)</f>
        <v>45623.66667</v>
      </c>
      <c r="H926" s="1">
        <f>IFERROR(__xludf.DUMMYFUNCTION("""COMPUTED_VALUE"""),162.11)</f>
        <v>162.11</v>
      </c>
      <c r="I926" s="5">
        <f t="shared" si="1"/>
        <v>0.01021580896</v>
      </c>
      <c r="K926" s="5">
        <f t="shared" si="2"/>
        <v>0.001111137379</v>
      </c>
      <c r="L926" s="5">
        <f t="shared" si="3"/>
        <v>0.002549719531</v>
      </c>
      <c r="M926" s="5">
        <f t="shared" si="4"/>
        <v>-0.001110357165</v>
      </c>
      <c r="Q926" s="5"/>
    </row>
    <row r="927">
      <c r="A927" s="4">
        <f>IFERROR(__xludf.DUMMYFUNCTION("""COMPUTED_VALUE"""),45625.54513888889)</f>
        <v>45625.54514</v>
      </c>
      <c r="B927" s="1">
        <f>IFERROR(__xludf.DUMMYFUNCTION("""COMPUTED_VALUE"""),237.33)</f>
        <v>237.33</v>
      </c>
      <c r="C927" s="4">
        <f>IFERROR(__xludf.DUMMYFUNCTION("""COMPUTED_VALUE"""),45625.54513888889)</f>
        <v>45625.54514</v>
      </c>
      <c r="D927" s="1">
        <f>IFERROR(__xludf.DUMMYFUNCTION("""COMPUTED_VALUE"""),423.46)</f>
        <v>423.46</v>
      </c>
      <c r="E927" s="4">
        <f>IFERROR(__xludf.DUMMYFUNCTION("""COMPUTED_VALUE"""),45625.54166666667)</f>
        <v>45625.54167</v>
      </c>
      <c r="F927" s="1">
        <f>IFERROR(__xludf.DUMMYFUNCTION("""COMPUTED_VALUE"""),117.96)</f>
        <v>117.96</v>
      </c>
      <c r="G927" s="4">
        <f>IFERROR(__xludf.DUMMYFUNCTION("""COMPUTED_VALUE"""),45625.54166666667)</f>
        <v>45625.54167</v>
      </c>
      <c r="H927" s="1">
        <f>IFERROR(__xludf.DUMMYFUNCTION("""COMPUTED_VALUE"""),161.93)</f>
        <v>161.93</v>
      </c>
      <c r="I927" s="5">
        <f t="shared" si="1"/>
        <v>0.009522605655</v>
      </c>
      <c r="K927" s="5">
        <f t="shared" si="2"/>
        <v>0.01775846597</v>
      </c>
      <c r="L927" s="5">
        <f t="shared" si="3"/>
        <v>-0.0009325194981</v>
      </c>
      <c r="M927" s="5">
        <f t="shared" si="4"/>
        <v>0.001729142222</v>
      </c>
      <c r="Q927" s="5"/>
    </row>
    <row r="928">
      <c r="A928" s="4">
        <f>IFERROR(__xludf.DUMMYFUNCTION("""COMPUTED_VALUE"""),45628.66666666667)</f>
        <v>45628.66667</v>
      </c>
      <c r="B928" s="1">
        <f>IFERROR(__xludf.DUMMYFUNCTION("""COMPUTED_VALUE"""),239.59)</f>
        <v>239.59</v>
      </c>
      <c r="C928" s="4">
        <f>IFERROR(__xludf.DUMMYFUNCTION("""COMPUTED_VALUE"""),45628.66666666667)</f>
        <v>45628.66667</v>
      </c>
      <c r="D928" s="1">
        <f>IFERROR(__xludf.DUMMYFUNCTION("""COMPUTED_VALUE"""),430.98)</f>
        <v>430.98</v>
      </c>
      <c r="E928" s="4">
        <f>IFERROR(__xludf.DUMMYFUNCTION("""COMPUTED_VALUE"""),45628.66666666667)</f>
        <v>45628.66667</v>
      </c>
      <c r="F928" s="1">
        <f>IFERROR(__xludf.DUMMYFUNCTION("""COMPUTED_VALUE"""),117.85)</f>
        <v>117.85</v>
      </c>
      <c r="G928" s="4">
        <f>IFERROR(__xludf.DUMMYFUNCTION("""COMPUTED_VALUE"""),45628.66666666667)</f>
        <v>45628.66667</v>
      </c>
      <c r="H928" s="1">
        <f>IFERROR(__xludf.DUMMYFUNCTION("""COMPUTED_VALUE"""),162.21)</f>
        <v>162.21</v>
      </c>
      <c r="I928" s="5">
        <f t="shared" si="1"/>
        <v>0.01277181852</v>
      </c>
      <c r="K928" s="5">
        <f t="shared" si="2"/>
        <v>0.0005104645227</v>
      </c>
      <c r="L928" s="5">
        <f t="shared" si="3"/>
        <v>-0.001527365295</v>
      </c>
      <c r="M928" s="5">
        <f t="shared" si="4"/>
        <v>-0.001787805931</v>
      </c>
      <c r="Q928" s="5"/>
    </row>
    <row r="929">
      <c r="A929" s="4">
        <f>IFERROR(__xludf.DUMMYFUNCTION("""COMPUTED_VALUE"""),45629.66666666667)</f>
        <v>45629.66667</v>
      </c>
      <c r="B929" s="1">
        <f>IFERROR(__xludf.DUMMYFUNCTION("""COMPUTED_VALUE"""),242.65)</f>
        <v>242.65</v>
      </c>
      <c r="C929" s="4">
        <f>IFERROR(__xludf.DUMMYFUNCTION("""COMPUTED_VALUE"""),45629.66666666667)</f>
        <v>45629.66667</v>
      </c>
      <c r="D929" s="1">
        <f>IFERROR(__xludf.DUMMYFUNCTION("""COMPUTED_VALUE"""),431.2)</f>
        <v>431.2</v>
      </c>
      <c r="E929" s="4">
        <f>IFERROR(__xludf.DUMMYFUNCTION("""COMPUTED_VALUE"""),45629.66666666667)</f>
        <v>45629.66667</v>
      </c>
      <c r="F929" s="1">
        <f>IFERROR(__xludf.DUMMYFUNCTION("""COMPUTED_VALUE"""),117.67)</f>
        <v>117.67</v>
      </c>
      <c r="G929" s="4">
        <f>IFERROR(__xludf.DUMMYFUNCTION("""COMPUTED_VALUE"""),45629.66666666667)</f>
        <v>45629.66667</v>
      </c>
      <c r="H929" s="1">
        <f>IFERROR(__xludf.DUMMYFUNCTION("""COMPUTED_VALUE"""),161.92)</f>
        <v>161.92</v>
      </c>
      <c r="I929" s="5">
        <f t="shared" si="1"/>
        <v>0.00148361838</v>
      </c>
      <c r="K929" s="5">
        <f t="shared" si="2"/>
        <v>0.01442486085</v>
      </c>
      <c r="L929" s="5">
        <f t="shared" si="3"/>
        <v>-0.02880938217</v>
      </c>
      <c r="M929" s="5">
        <f t="shared" si="4"/>
        <v>-0.02223320158</v>
      </c>
      <c r="Q929" s="5"/>
    </row>
    <row r="930">
      <c r="A930" s="4">
        <f>IFERROR(__xludf.DUMMYFUNCTION("""COMPUTED_VALUE"""),45630.66666666667)</f>
        <v>45630.66667</v>
      </c>
      <c r="B930" s="1">
        <f>IFERROR(__xludf.DUMMYFUNCTION("""COMPUTED_VALUE"""),243.01)</f>
        <v>243.01</v>
      </c>
      <c r="C930" s="4">
        <f>IFERROR(__xludf.DUMMYFUNCTION("""COMPUTED_VALUE"""),45630.66666666667)</f>
        <v>45630.66667</v>
      </c>
      <c r="D930" s="1">
        <f>IFERROR(__xludf.DUMMYFUNCTION("""COMPUTED_VALUE"""),437.42)</f>
        <v>437.42</v>
      </c>
      <c r="E930" s="4">
        <f>IFERROR(__xludf.DUMMYFUNCTION("""COMPUTED_VALUE"""),45630.66666666667)</f>
        <v>45630.66667</v>
      </c>
      <c r="F930" s="1">
        <f>IFERROR(__xludf.DUMMYFUNCTION("""COMPUTED_VALUE"""),114.28)</f>
        <v>114.28</v>
      </c>
      <c r="G930" s="4">
        <f>IFERROR(__xludf.DUMMYFUNCTION("""COMPUTED_VALUE"""),45630.66666666667)</f>
        <v>45630.66667</v>
      </c>
      <c r="H930" s="1">
        <f>IFERROR(__xludf.DUMMYFUNCTION("""COMPUTED_VALUE"""),158.32)</f>
        <v>158.32</v>
      </c>
      <c r="I930" s="5">
        <f t="shared" si="1"/>
        <v>0.0001234517098</v>
      </c>
      <c r="K930" s="5">
        <f t="shared" si="2"/>
        <v>0.01188788807</v>
      </c>
      <c r="L930" s="5">
        <f t="shared" si="3"/>
        <v>0.004375218761</v>
      </c>
      <c r="M930" s="5">
        <f t="shared" si="4"/>
        <v>0.006379484588</v>
      </c>
      <c r="Q930" s="5"/>
    </row>
    <row r="931">
      <c r="A931" s="4">
        <f>IFERROR(__xludf.DUMMYFUNCTION("""COMPUTED_VALUE"""),45631.66666666667)</f>
        <v>45631.66667</v>
      </c>
      <c r="B931" s="1">
        <f>IFERROR(__xludf.DUMMYFUNCTION("""COMPUTED_VALUE"""),243.04)</f>
        <v>243.04</v>
      </c>
      <c r="C931" s="4">
        <f>IFERROR(__xludf.DUMMYFUNCTION("""COMPUTED_VALUE"""),45631.66666666667)</f>
        <v>45631.66667</v>
      </c>
      <c r="D931" s="1">
        <f>IFERROR(__xludf.DUMMYFUNCTION("""COMPUTED_VALUE"""),442.62)</f>
        <v>442.62</v>
      </c>
      <c r="E931" s="4">
        <f>IFERROR(__xludf.DUMMYFUNCTION("""COMPUTED_VALUE"""),45631.66666666667)</f>
        <v>45631.66667</v>
      </c>
      <c r="F931" s="1">
        <f>IFERROR(__xludf.DUMMYFUNCTION("""COMPUTED_VALUE"""),114.78)</f>
        <v>114.78</v>
      </c>
      <c r="G931" s="4">
        <f>IFERROR(__xludf.DUMMYFUNCTION("""COMPUTED_VALUE"""),45631.66666666667)</f>
        <v>45631.66667</v>
      </c>
      <c r="H931" s="1">
        <f>IFERROR(__xludf.DUMMYFUNCTION("""COMPUTED_VALUE"""),159.33)</f>
        <v>159.33</v>
      </c>
      <c r="I931" s="5">
        <f t="shared" si="1"/>
        <v>-0.0008229098091</v>
      </c>
      <c r="K931" s="5">
        <f t="shared" si="2"/>
        <v>0.002146310605</v>
      </c>
      <c r="L931" s="5">
        <f t="shared" si="3"/>
        <v>-0.01054190626</v>
      </c>
      <c r="M931" s="5">
        <f t="shared" si="4"/>
        <v>-0.0256699931</v>
      </c>
      <c r="Q931" s="5"/>
    </row>
    <row r="932">
      <c r="A932" s="4">
        <f>IFERROR(__xludf.DUMMYFUNCTION("""COMPUTED_VALUE"""),45632.66666666667)</f>
        <v>45632.66667</v>
      </c>
      <c r="B932" s="1">
        <f>IFERROR(__xludf.DUMMYFUNCTION("""COMPUTED_VALUE"""),242.84)</f>
        <v>242.84</v>
      </c>
      <c r="C932" s="4">
        <f>IFERROR(__xludf.DUMMYFUNCTION("""COMPUTED_VALUE"""),45632.66666666667)</f>
        <v>45632.66667</v>
      </c>
      <c r="D932" s="1">
        <f>IFERROR(__xludf.DUMMYFUNCTION("""COMPUTED_VALUE"""),443.57)</f>
        <v>443.57</v>
      </c>
      <c r="E932" s="4">
        <f>IFERROR(__xludf.DUMMYFUNCTION("""COMPUTED_VALUE"""),45632.66666666667)</f>
        <v>45632.66667</v>
      </c>
      <c r="F932" s="1">
        <f>IFERROR(__xludf.DUMMYFUNCTION("""COMPUTED_VALUE"""),113.57)</f>
        <v>113.57</v>
      </c>
      <c r="G932" s="4">
        <f>IFERROR(__xludf.DUMMYFUNCTION("""COMPUTED_VALUE"""),45632.66666666667)</f>
        <v>45632.66667</v>
      </c>
      <c r="H932" s="1">
        <f>IFERROR(__xludf.DUMMYFUNCTION("""COMPUTED_VALUE"""),155.24)</f>
        <v>155.24</v>
      </c>
      <c r="I932" s="5">
        <f t="shared" si="1"/>
        <v>0.01610113655</v>
      </c>
      <c r="K932" s="5">
        <f t="shared" si="2"/>
        <v>0.005523367225</v>
      </c>
      <c r="L932" s="5">
        <f t="shared" si="3"/>
        <v>-0.005899445276</v>
      </c>
      <c r="M932" s="5">
        <f t="shared" si="4"/>
        <v>0.01185261531</v>
      </c>
      <c r="Q932" s="5"/>
    </row>
    <row r="933">
      <c r="A933" s="4">
        <f>IFERROR(__xludf.DUMMYFUNCTION("""COMPUTED_VALUE"""),45635.66666666667)</f>
        <v>45635.66667</v>
      </c>
      <c r="B933" s="1">
        <f>IFERROR(__xludf.DUMMYFUNCTION("""COMPUTED_VALUE"""),246.75)</f>
        <v>246.75</v>
      </c>
      <c r="C933" s="4">
        <f>IFERROR(__xludf.DUMMYFUNCTION("""COMPUTED_VALUE"""),45635.66666666667)</f>
        <v>45635.66667</v>
      </c>
      <c r="D933" s="1">
        <f>IFERROR(__xludf.DUMMYFUNCTION("""COMPUTED_VALUE"""),446.02)</f>
        <v>446.02</v>
      </c>
      <c r="E933" s="4">
        <f>IFERROR(__xludf.DUMMYFUNCTION("""COMPUTED_VALUE"""),45635.66666666667)</f>
        <v>45635.66667</v>
      </c>
      <c r="F933" s="1">
        <f>IFERROR(__xludf.DUMMYFUNCTION("""COMPUTED_VALUE"""),112.9)</f>
        <v>112.9</v>
      </c>
      <c r="G933" s="4">
        <f>IFERROR(__xludf.DUMMYFUNCTION("""COMPUTED_VALUE"""),45635.66666666667)</f>
        <v>45635.66667</v>
      </c>
      <c r="H933" s="1">
        <f>IFERROR(__xludf.DUMMYFUNCTION("""COMPUTED_VALUE"""),157.08)</f>
        <v>157.08</v>
      </c>
      <c r="I933" s="5">
        <f t="shared" si="1"/>
        <v>0.004133738602</v>
      </c>
      <c r="K933" s="5">
        <f t="shared" si="2"/>
        <v>-0.006031119681</v>
      </c>
      <c r="L933" s="5">
        <f t="shared" si="3"/>
        <v>-0.002037201063</v>
      </c>
      <c r="M933" s="5">
        <f t="shared" si="4"/>
        <v>-0.0005092946269</v>
      </c>
      <c r="Q933" s="5"/>
    </row>
    <row r="934">
      <c r="A934" s="4">
        <f>IFERROR(__xludf.DUMMYFUNCTION("""COMPUTED_VALUE"""),45636.66666666667)</f>
        <v>45636.66667</v>
      </c>
      <c r="B934" s="1">
        <f>IFERROR(__xludf.DUMMYFUNCTION("""COMPUTED_VALUE"""),247.77)</f>
        <v>247.77</v>
      </c>
      <c r="C934" s="4">
        <f>IFERROR(__xludf.DUMMYFUNCTION("""COMPUTED_VALUE"""),45636.66666666667)</f>
        <v>45636.66667</v>
      </c>
      <c r="D934" s="1">
        <f>IFERROR(__xludf.DUMMYFUNCTION("""COMPUTED_VALUE"""),443.33)</f>
        <v>443.33</v>
      </c>
      <c r="E934" s="4">
        <f>IFERROR(__xludf.DUMMYFUNCTION("""COMPUTED_VALUE"""),45636.66666666667)</f>
        <v>45636.66667</v>
      </c>
      <c r="F934" s="1">
        <f>IFERROR(__xludf.DUMMYFUNCTION("""COMPUTED_VALUE"""),112.67)</f>
        <v>112.67</v>
      </c>
      <c r="G934" s="4">
        <f>IFERROR(__xludf.DUMMYFUNCTION("""COMPUTED_VALUE"""),45636.66666666667)</f>
        <v>45636.66667</v>
      </c>
      <c r="H934" s="1">
        <f>IFERROR(__xludf.DUMMYFUNCTION("""COMPUTED_VALUE"""),157.0)</f>
        <v>157</v>
      </c>
      <c r="I934" s="5">
        <f t="shared" si="1"/>
        <v>-0.005166081447</v>
      </c>
      <c r="K934" s="5">
        <f t="shared" si="2"/>
        <v>0.01276701329</v>
      </c>
      <c r="L934" s="5">
        <f t="shared" si="3"/>
        <v>-0.006656607793</v>
      </c>
      <c r="M934" s="5">
        <f t="shared" si="4"/>
        <v>-0.005031847134</v>
      </c>
      <c r="Q934" s="5"/>
    </row>
    <row r="935">
      <c r="A935" s="4">
        <f>IFERROR(__xludf.DUMMYFUNCTION("""COMPUTED_VALUE"""),45637.66666666667)</f>
        <v>45637.66667</v>
      </c>
      <c r="B935" s="1">
        <f>IFERROR(__xludf.DUMMYFUNCTION("""COMPUTED_VALUE"""),246.49)</f>
        <v>246.49</v>
      </c>
      <c r="C935" s="4">
        <f>IFERROR(__xludf.DUMMYFUNCTION("""COMPUTED_VALUE"""),45637.66666666667)</f>
        <v>45637.66667</v>
      </c>
      <c r="D935" s="1">
        <f>IFERROR(__xludf.DUMMYFUNCTION("""COMPUTED_VALUE"""),448.99)</f>
        <v>448.99</v>
      </c>
      <c r="E935" s="4">
        <f>IFERROR(__xludf.DUMMYFUNCTION("""COMPUTED_VALUE"""),45637.66666666667)</f>
        <v>45637.66667</v>
      </c>
      <c r="F935" s="1">
        <f>IFERROR(__xludf.DUMMYFUNCTION("""COMPUTED_VALUE"""),111.92)</f>
        <v>111.92</v>
      </c>
      <c r="G935" s="4">
        <f>IFERROR(__xludf.DUMMYFUNCTION("""COMPUTED_VALUE"""),45637.66666666667)</f>
        <v>45637.66667</v>
      </c>
      <c r="H935" s="1">
        <f>IFERROR(__xludf.DUMMYFUNCTION("""COMPUTED_VALUE"""),156.21)</f>
        <v>156.21</v>
      </c>
      <c r="I935" s="5">
        <f t="shared" si="1"/>
        <v>0.00596373078</v>
      </c>
      <c r="K935" s="5">
        <f t="shared" si="2"/>
        <v>0.001269516025</v>
      </c>
      <c r="L935" s="5">
        <f t="shared" si="3"/>
        <v>-0.0008934953538</v>
      </c>
      <c r="M935" s="5">
        <f t="shared" si="4"/>
        <v>-0.009602458229</v>
      </c>
      <c r="Q935" s="5"/>
    </row>
    <row r="936">
      <c r="A936" s="4">
        <f>IFERROR(__xludf.DUMMYFUNCTION("""COMPUTED_VALUE"""),45638.66666666667)</f>
        <v>45638.66667</v>
      </c>
      <c r="B936" s="1">
        <f>IFERROR(__xludf.DUMMYFUNCTION("""COMPUTED_VALUE"""),247.96)</f>
        <v>247.96</v>
      </c>
      <c r="C936" s="4">
        <f>IFERROR(__xludf.DUMMYFUNCTION("""COMPUTED_VALUE"""),45638.66666666667)</f>
        <v>45638.66667</v>
      </c>
      <c r="D936" s="1">
        <f>IFERROR(__xludf.DUMMYFUNCTION("""COMPUTED_VALUE"""),449.56)</f>
        <v>449.56</v>
      </c>
      <c r="E936" s="4">
        <f>IFERROR(__xludf.DUMMYFUNCTION("""COMPUTED_VALUE"""),45638.66666666667)</f>
        <v>45638.66667</v>
      </c>
      <c r="F936" s="1">
        <f>IFERROR(__xludf.DUMMYFUNCTION("""COMPUTED_VALUE"""),111.82)</f>
        <v>111.82</v>
      </c>
      <c r="G936" s="4">
        <f>IFERROR(__xludf.DUMMYFUNCTION("""COMPUTED_VALUE"""),45638.66666666667)</f>
        <v>45638.66667</v>
      </c>
      <c r="H936" s="1">
        <f>IFERROR(__xludf.DUMMYFUNCTION("""COMPUTED_VALUE"""),154.71)</f>
        <v>154.71</v>
      </c>
      <c r="I936" s="5">
        <f t="shared" si="1"/>
        <v>0.0006855944507</v>
      </c>
      <c r="K936" s="5">
        <f t="shared" si="2"/>
        <v>-0.005093869561</v>
      </c>
      <c r="L936" s="5">
        <f t="shared" si="3"/>
        <v>-0.008764085137</v>
      </c>
      <c r="M936" s="5">
        <f t="shared" si="4"/>
        <v>-0.005429513283</v>
      </c>
      <c r="Q936" s="5"/>
    </row>
    <row r="937">
      <c r="A937" s="4">
        <f>IFERROR(__xludf.DUMMYFUNCTION("""COMPUTED_VALUE"""),45639.66666666667)</f>
        <v>45639.66667</v>
      </c>
      <c r="B937" s="1">
        <f>IFERROR(__xludf.DUMMYFUNCTION("""COMPUTED_VALUE"""),248.13)</f>
        <v>248.13</v>
      </c>
      <c r="C937" s="4">
        <f>IFERROR(__xludf.DUMMYFUNCTION("""COMPUTED_VALUE"""),45639.66666666667)</f>
        <v>45639.66667</v>
      </c>
      <c r="D937" s="1">
        <f>IFERROR(__xludf.DUMMYFUNCTION("""COMPUTED_VALUE"""),447.27)</f>
        <v>447.27</v>
      </c>
      <c r="E937" s="4">
        <f>IFERROR(__xludf.DUMMYFUNCTION("""COMPUTED_VALUE"""),45639.66666666667)</f>
        <v>45639.66667</v>
      </c>
      <c r="F937" s="1">
        <f>IFERROR(__xludf.DUMMYFUNCTION("""COMPUTED_VALUE"""),110.84)</f>
        <v>110.84</v>
      </c>
      <c r="G937" s="4">
        <f>IFERROR(__xludf.DUMMYFUNCTION("""COMPUTED_VALUE"""),45639.66666666667)</f>
        <v>45639.66667</v>
      </c>
      <c r="H937" s="1">
        <f>IFERROR(__xludf.DUMMYFUNCTION("""COMPUTED_VALUE"""),153.87)</f>
        <v>153.87</v>
      </c>
      <c r="I937" s="5">
        <f t="shared" si="1"/>
        <v>0.01172772337</v>
      </c>
      <c r="K937" s="5">
        <f t="shared" si="2"/>
        <v>0.009658595479</v>
      </c>
      <c r="L937" s="5">
        <f t="shared" si="3"/>
        <v>-0.0213821725</v>
      </c>
      <c r="M937" s="5">
        <f t="shared" si="4"/>
        <v>-0.02931045688</v>
      </c>
      <c r="Q937" s="5"/>
    </row>
    <row r="938">
      <c r="A938" s="4">
        <f>IFERROR(__xludf.DUMMYFUNCTION("""COMPUTED_VALUE"""),45642.66666666667)</f>
        <v>45642.66667</v>
      </c>
      <c r="B938" s="1">
        <f>IFERROR(__xludf.DUMMYFUNCTION("""COMPUTED_VALUE"""),251.04)</f>
        <v>251.04</v>
      </c>
      <c r="C938" s="4">
        <f>IFERROR(__xludf.DUMMYFUNCTION("""COMPUTED_VALUE"""),45642.66666666667)</f>
        <v>45642.66667</v>
      </c>
      <c r="D938" s="1">
        <f>IFERROR(__xludf.DUMMYFUNCTION("""COMPUTED_VALUE"""),451.59)</f>
        <v>451.59</v>
      </c>
      <c r="E938" s="4">
        <f>IFERROR(__xludf.DUMMYFUNCTION("""COMPUTED_VALUE"""),45642.66666666667)</f>
        <v>45642.66667</v>
      </c>
      <c r="F938" s="1">
        <f>IFERROR(__xludf.DUMMYFUNCTION("""COMPUTED_VALUE"""),108.47)</f>
        <v>108.47</v>
      </c>
      <c r="G938" s="4">
        <f>IFERROR(__xludf.DUMMYFUNCTION("""COMPUTED_VALUE"""),45642.66666666667)</f>
        <v>45642.66667</v>
      </c>
      <c r="H938" s="1">
        <f>IFERROR(__xludf.DUMMYFUNCTION("""COMPUTED_VALUE"""),149.36)</f>
        <v>149.36</v>
      </c>
      <c r="I938" s="5">
        <f t="shared" si="1"/>
        <v>0.009719566603</v>
      </c>
      <c r="K938" s="5">
        <f t="shared" si="2"/>
        <v>0.006355322306</v>
      </c>
      <c r="L938" s="5">
        <f t="shared" si="3"/>
        <v>-0.004240803909</v>
      </c>
      <c r="M938" s="5">
        <f t="shared" si="4"/>
        <v>-0.008369041243</v>
      </c>
      <c r="Q938" s="5"/>
    </row>
    <row r="939">
      <c r="A939" s="4">
        <f>IFERROR(__xludf.DUMMYFUNCTION("""COMPUTED_VALUE"""),45643.66666666667)</f>
        <v>45643.66667</v>
      </c>
      <c r="B939" s="1">
        <f>IFERROR(__xludf.DUMMYFUNCTION("""COMPUTED_VALUE"""),253.48)</f>
        <v>253.48</v>
      </c>
      <c r="C939" s="4">
        <f>IFERROR(__xludf.DUMMYFUNCTION("""COMPUTED_VALUE"""),45643.66666666667)</f>
        <v>45643.66667</v>
      </c>
      <c r="D939" s="1">
        <f>IFERROR(__xludf.DUMMYFUNCTION("""COMPUTED_VALUE"""),454.46)</f>
        <v>454.46</v>
      </c>
      <c r="E939" s="4">
        <f>IFERROR(__xludf.DUMMYFUNCTION("""COMPUTED_VALUE"""),45643.66666666667)</f>
        <v>45643.66667</v>
      </c>
      <c r="F939" s="1">
        <f>IFERROR(__xludf.DUMMYFUNCTION("""COMPUTED_VALUE"""),108.01)</f>
        <v>108.01</v>
      </c>
      <c r="G939" s="4">
        <f>IFERROR(__xludf.DUMMYFUNCTION("""COMPUTED_VALUE"""),45643.66666666667)</f>
        <v>45643.66667</v>
      </c>
      <c r="H939" s="1">
        <f>IFERROR(__xludf.DUMMYFUNCTION("""COMPUTED_VALUE"""),148.11)</f>
        <v>148.11</v>
      </c>
      <c r="I939" s="5">
        <f t="shared" si="1"/>
        <v>-0.02142180843</v>
      </c>
      <c r="K939" s="5">
        <f t="shared" si="2"/>
        <v>-0.03756106148</v>
      </c>
      <c r="L939" s="5">
        <f t="shared" si="3"/>
        <v>-0.01472085918</v>
      </c>
      <c r="M939" s="5">
        <f t="shared" si="4"/>
        <v>-0.02720950645</v>
      </c>
      <c r="Q939" s="5"/>
    </row>
    <row r="940">
      <c r="A940" s="4">
        <f>IFERROR(__xludf.DUMMYFUNCTION("""COMPUTED_VALUE"""),45644.66666666667)</f>
        <v>45644.66667</v>
      </c>
      <c r="B940" s="1">
        <f>IFERROR(__xludf.DUMMYFUNCTION("""COMPUTED_VALUE"""),248.05)</f>
        <v>248.05</v>
      </c>
      <c r="C940" s="4">
        <f>IFERROR(__xludf.DUMMYFUNCTION("""COMPUTED_VALUE"""),45644.66666666667)</f>
        <v>45644.66667</v>
      </c>
      <c r="D940" s="1">
        <f>IFERROR(__xludf.DUMMYFUNCTION("""COMPUTED_VALUE"""),437.39)</f>
        <v>437.39</v>
      </c>
      <c r="E940" s="4">
        <f>IFERROR(__xludf.DUMMYFUNCTION("""COMPUTED_VALUE"""),45644.66666666667)</f>
        <v>45644.66667</v>
      </c>
      <c r="F940" s="1">
        <f>IFERROR(__xludf.DUMMYFUNCTION("""COMPUTED_VALUE"""),106.42)</f>
        <v>106.42</v>
      </c>
      <c r="G940" s="4">
        <f>IFERROR(__xludf.DUMMYFUNCTION("""COMPUTED_VALUE"""),45644.66666666667)</f>
        <v>45644.66667</v>
      </c>
      <c r="H940" s="1">
        <f>IFERROR(__xludf.DUMMYFUNCTION("""COMPUTED_VALUE"""),144.08)</f>
        <v>144.08</v>
      </c>
      <c r="I940" s="5">
        <f t="shared" si="1"/>
        <v>0.007014714775</v>
      </c>
      <c r="K940" s="5">
        <f t="shared" si="2"/>
        <v>-0.0008230640847</v>
      </c>
      <c r="L940" s="5">
        <f t="shared" si="3"/>
        <v>-0.008551024244</v>
      </c>
      <c r="M940" s="5">
        <f t="shared" si="4"/>
        <v>-0.02033592449</v>
      </c>
      <c r="Q940" s="5"/>
    </row>
    <row r="941">
      <c r="A941" s="4">
        <f>IFERROR(__xludf.DUMMYFUNCTION("""COMPUTED_VALUE"""),45645.66666666667)</f>
        <v>45645.66667</v>
      </c>
      <c r="B941" s="1">
        <f>IFERROR(__xludf.DUMMYFUNCTION("""COMPUTED_VALUE"""),249.79)</f>
        <v>249.79</v>
      </c>
      <c r="C941" s="4">
        <f>IFERROR(__xludf.DUMMYFUNCTION("""COMPUTED_VALUE"""),45645.66666666667)</f>
        <v>45645.66667</v>
      </c>
      <c r="D941" s="1">
        <f>IFERROR(__xludf.DUMMYFUNCTION("""COMPUTED_VALUE"""),437.03)</f>
        <v>437.03</v>
      </c>
      <c r="E941" s="4">
        <f>IFERROR(__xludf.DUMMYFUNCTION("""COMPUTED_VALUE"""),45645.66666666667)</f>
        <v>45645.66667</v>
      </c>
      <c r="F941" s="1">
        <f>IFERROR(__xludf.DUMMYFUNCTION("""COMPUTED_VALUE"""),105.51)</f>
        <v>105.51</v>
      </c>
      <c r="G941" s="4">
        <f>IFERROR(__xludf.DUMMYFUNCTION("""COMPUTED_VALUE"""),45645.66666666667)</f>
        <v>45645.66667</v>
      </c>
      <c r="H941" s="1">
        <f>IFERROR(__xludf.DUMMYFUNCTION("""COMPUTED_VALUE"""),141.15)</f>
        <v>141.15</v>
      </c>
      <c r="I941" s="5">
        <f t="shared" si="1"/>
        <v>0.01881580528</v>
      </c>
      <c r="K941" s="5">
        <f t="shared" si="2"/>
        <v>-0.0009839141478</v>
      </c>
      <c r="L941" s="5">
        <f t="shared" si="3"/>
        <v>0.003411998863</v>
      </c>
      <c r="M941" s="5">
        <f t="shared" si="4"/>
        <v>0.0120439249</v>
      </c>
      <c r="Q941" s="5"/>
    </row>
    <row r="942">
      <c r="A942" s="4">
        <f>IFERROR(__xludf.DUMMYFUNCTION("""COMPUTED_VALUE"""),45646.66666666667)</f>
        <v>45646.66667</v>
      </c>
      <c r="B942" s="1">
        <f>IFERROR(__xludf.DUMMYFUNCTION("""COMPUTED_VALUE"""),254.49)</f>
        <v>254.49</v>
      </c>
      <c r="C942" s="4">
        <f>IFERROR(__xludf.DUMMYFUNCTION("""COMPUTED_VALUE"""),45646.66666666667)</f>
        <v>45646.66667</v>
      </c>
      <c r="D942" s="1">
        <f>IFERROR(__xludf.DUMMYFUNCTION("""COMPUTED_VALUE"""),436.6)</f>
        <v>436.6</v>
      </c>
      <c r="E942" s="4">
        <f>IFERROR(__xludf.DUMMYFUNCTION("""COMPUTED_VALUE"""),45646.66666666667)</f>
        <v>45646.66667</v>
      </c>
      <c r="F942" s="1">
        <f>IFERROR(__xludf.DUMMYFUNCTION("""COMPUTED_VALUE"""),105.87)</f>
        <v>105.87</v>
      </c>
      <c r="G942" s="4">
        <f>IFERROR(__xludf.DUMMYFUNCTION("""COMPUTED_VALUE"""),45646.66666666667)</f>
        <v>45646.66667</v>
      </c>
      <c r="H942" s="1">
        <f>IFERROR(__xludf.DUMMYFUNCTION("""COMPUTED_VALUE"""),142.85)</f>
        <v>142.85</v>
      </c>
      <c r="I942" s="5">
        <f t="shared" si="1"/>
        <v>0.003064953436</v>
      </c>
      <c r="K942" s="5">
        <f t="shared" si="2"/>
        <v>-0.003092075126</v>
      </c>
      <c r="L942" s="5">
        <f t="shared" si="3"/>
        <v>0.004061584963</v>
      </c>
      <c r="M942" s="5">
        <f t="shared" si="4"/>
        <v>0.0008400420021</v>
      </c>
      <c r="Q942" s="5"/>
    </row>
    <row r="943">
      <c r="A943" s="4">
        <f>IFERROR(__xludf.DUMMYFUNCTION("""COMPUTED_VALUE"""),45649.66666666667)</f>
        <v>45649.66667</v>
      </c>
      <c r="B943" s="1">
        <f>IFERROR(__xludf.DUMMYFUNCTION("""COMPUTED_VALUE"""),255.27)</f>
        <v>255.27</v>
      </c>
      <c r="C943" s="4">
        <f>IFERROR(__xludf.DUMMYFUNCTION("""COMPUTED_VALUE"""),45649.66666666667)</f>
        <v>45649.66667</v>
      </c>
      <c r="D943" s="1">
        <f>IFERROR(__xludf.DUMMYFUNCTION("""COMPUTED_VALUE"""),435.25)</f>
        <v>435.25</v>
      </c>
      <c r="E943" s="4">
        <f>IFERROR(__xludf.DUMMYFUNCTION("""COMPUTED_VALUE"""),45649.66666666667)</f>
        <v>45649.66667</v>
      </c>
      <c r="F943" s="1">
        <f>IFERROR(__xludf.DUMMYFUNCTION("""COMPUTED_VALUE"""),106.3)</f>
        <v>106.3</v>
      </c>
      <c r="G943" s="4">
        <f>IFERROR(__xludf.DUMMYFUNCTION("""COMPUTED_VALUE"""),45649.66666666667)</f>
        <v>45649.66667</v>
      </c>
      <c r="H943" s="1">
        <f>IFERROR(__xludf.DUMMYFUNCTION("""COMPUTED_VALUE"""),142.97)</f>
        <v>142.97</v>
      </c>
      <c r="I943" s="5">
        <f t="shared" si="1"/>
        <v>0.01147804286</v>
      </c>
      <c r="K943" s="5">
        <f t="shared" si="2"/>
        <v>0.009373923033</v>
      </c>
      <c r="L943" s="5">
        <f t="shared" si="3"/>
        <v>0.0009407337723</v>
      </c>
      <c r="M943" s="5">
        <f t="shared" si="4"/>
        <v>0.006085192698</v>
      </c>
      <c r="Q943" s="5"/>
    </row>
    <row r="944">
      <c r="A944" s="4">
        <f>IFERROR(__xludf.DUMMYFUNCTION("""COMPUTED_VALUE"""),45650.54513888889)</f>
        <v>45650.54514</v>
      </c>
      <c r="B944" s="1">
        <f>IFERROR(__xludf.DUMMYFUNCTION("""COMPUTED_VALUE"""),258.2)</f>
        <v>258.2</v>
      </c>
      <c r="C944" s="4">
        <f>IFERROR(__xludf.DUMMYFUNCTION("""COMPUTED_VALUE"""),45650.54513888889)</f>
        <v>45650.54514</v>
      </c>
      <c r="D944" s="1">
        <f>IFERROR(__xludf.DUMMYFUNCTION("""COMPUTED_VALUE"""),439.33)</f>
        <v>439.33</v>
      </c>
      <c r="E944" s="4">
        <f>IFERROR(__xludf.DUMMYFUNCTION("""COMPUTED_VALUE"""),45650.54166666667)</f>
        <v>45650.54167</v>
      </c>
      <c r="F944" s="1">
        <f>IFERROR(__xludf.DUMMYFUNCTION("""COMPUTED_VALUE"""),106.4)</f>
        <v>106.4</v>
      </c>
      <c r="G944" s="4">
        <f>IFERROR(__xludf.DUMMYFUNCTION("""COMPUTED_VALUE"""),45650.54166666667)</f>
        <v>45650.54167</v>
      </c>
      <c r="H944" s="1">
        <f>IFERROR(__xludf.DUMMYFUNCTION("""COMPUTED_VALUE"""),143.84)</f>
        <v>143.84</v>
      </c>
      <c r="I944" s="5">
        <f t="shared" si="1"/>
        <v>0.003175832688</v>
      </c>
      <c r="K944" s="5">
        <f t="shared" si="2"/>
        <v>-0.002776955819</v>
      </c>
      <c r="L944" s="5">
        <f t="shared" si="3"/>
        <v>0.0008458646617</v>
      </c>
      <c r="M944" s="5">
        <f t="shared" si="4"/>
        <v>0.0009733036707</v>
      </c>
      <c r="Q944" s="5"/>
    </row>
    <row r="945">
      <c r="A945" s="4">
        <f>IFERROR(__xludf.DUMMYFUNCTION("""COMPUTED_VALUE"""),45652.66666666667)</f>
        <v>45652.66667</v>
      </c>
      <c r="B945" s="1">
        <f>IFERROR(__xludf.DUMMYFUNCTION("""COMPUTED_VALUE"""),259.02)</f>
        <v>259.02</v>
      </c>
      <c r="C945" s="4">
        <f>IFERROR(__xludf.DUMMYFUNCTION("""COMPUTED_VALUE"""),45652.66666666667)</f>
        <v>45652.66667</v>
      </c>
      <c r="D945" s="1">
        <f>IFERROR(__xludf.DUMMYFUNCTION("""COMPUTED_VALUE"""),438.11)</f>
        <v>438.11</v>
      </c>
      <c r="E945" s="4">
        <f>IFERROR(__xludf.DUMMYFUNCTION("""COMPUTED_VALUE"""),45652.66666666667)</f>
        <v>45652.66667</v>
      </c>
      <c r="F945" s="1">
        <f>IFERROR(__xludf.DUMMYFUNCTION("""COMPUTED_VALUE"""),106.49)</f>
        <v>106.49</v>
      </c>
      <c r="G945" s="4">
        <f>IFERROR(__xludf.DUMMYFUNCTION("""COMPUTED_VALUE"""),45652.66666666667)</f>
        <v>45652.66667</v>
      </c>
      <c r="H945" s="1">
        <f>IFERROR(__xludf.DUMMYFUNCTION("""COMPUTED_VALUE"""),143.98)</f>
        <v>143.98</v>
      </c>
      <c r="I945" s="5">
        <f t="shared" si="1"/>
        <v>-0.01324222068</v>
      </c>
      <c r="K945" s="5">
        <f t="shared" si="2"/>
        <v>-0.01730159092</v>
      </c>
      <c r="L945" s="5">
        <f t="shared" si="3"/>
        <v>-0.00009390553104</v>
      </c>
      <c r="M945" s="5">
        <f t="shared" si="4"/>
        <v>0.0001389081817</v>
      </c>
      <c r="Q945" s="5"/>
    </row>
    <row r="946">
      <c r="A946" s="4">
        <f>IFERROR(__xludf.DUMMYFUNCTION("""COMPUTED_VALUE"""),45653.66666666667)</f>
        <v>45653.66667</v>
      </c>
      <c r="B946" s="1">
        <f>IFERROR(__xludf.DUMMYFUNCTION("""COMPUTED_VALUE"""),255.59)</f>
        <v>255.59</v>
      </c>
      <c r="C946" s="4">
        <f>IFERROR(__xludf.DUMMYFUNCTION("""COMPUTED_VALUE"""),45653.66666666667)</f>
        <v>45653.66667</v>
      </c>
      <c r="D946" s="1">
        <f>IFERROR(__xludf.DUMMYFUNCTION("""COMPUTED_VALUE"""),430.53)</f>
        <v>430.53</v>
      </c>
      <c r="E946" s="4">
        <f>IFERROR(__xludf.DUMMYFUNCTION("""COMPUTED_VALUE"""),45653.66666666667)</f>
        <v>45653.66667</v>
      </c>
      <c r="F946" s="1">
        <f>IFERROR(__xludf.DUMMYFUNCTION("""COMPUTED_VALUE"""),106.48)</f>
        <v>106.48</v>
      </c>
      <c r="G946" s="4">
        <f>IFERROR(__xludf.DUMMYFUNCTION("""COMPUTED_VALUE"""),45653.66666666667)</f>
        <v>45653.66667</v>
      </c>
      <c r="H946" s="1">
        <f>IFERROR(__xludf.DUMMYFUNCTION("""COMPUTED_VALUE"""),144.0)</f>
        <v>144</v>
      </c>
      <c r="I946" s="5">
        <f t="shared" si="1"/>
        <v>-0.01326342971</v>
      </c>
      <c r="K946" s="5">
        <f t="shared" si="2"/>
        <v>-0.01323949551</v>
      </c>
      <c r="L946" s="5">
        <f t="shared" si="3"/>
        <v>-0.006761833208</v>
      </c>
      <c r="M946" s="5">
        <f t="shared" si="4"/>
        <v>-0.006458333333</v>
      </c>
      <c r="Q946" s="5"/>
    </row>
    <row r="947">
      <c r="A947" s="4">
        <f>IFERROR(__xludf.DUMMYFUNCTION("""COMPUTED_VALUE"""),45656.66666666667)</f>
        <v>45656.66667</v>
      </c>
      <c r="B947" s="1">
        <f>IFERROR(__xludf.DUMMYFUNCTION("""COMPUTED_VALUE"""),252.2)</f>
        <v>252.2</v>
      </c>
      <c r="C947" s="4">
        <f>IFERROR(__xludf.DUMMYFUNCTION("""COMPUTED_VALUE"""),45656.66666666667)</f>
        <v>45656.66667</v>
      </c>
      <c r="D947" s="1">
        <f>IFERROR(__xludf.DUMMYFUNCTION("""COMPUTED_VALUE"""),424.83)</f>
        <v>424.83</v>
      </c>
      <c r="E947" s="4">
        <f>IFERROR(__xludf.DUMMYFUNCTION("""COMPUTED_VALUE"""),45656.66666666667)</f>
        <v>45656.66667</v>
      </c>
      <c r="F947" s="1">
        <f>IFERROR(__xludf.DUMMYFUNCTION("""COMPUTED_VALUE"""),105.76)</f>
        <v>105.76</v>
      </c>
      <c r="G947" s="4">
        <f>IFERROR(__xludf.DUMMYFUNCTION("""COMPUTED_VALUE"""),45656.66666666667)</f>
        <v>45656.66667</v>
      </c>
      <c r="H947" s="1">
        <f>IFERROR(__xludf.DUMMYFUNCTION("""COMPUTED_VALUE"""),143.07)</f>
        <v>143.07</v>
      </c>
      <c r="I947" s="5">
        <f t="shared" si="1"/>
        <v>-0.007057890563</v>
      </c>
      <c r="K947" s="5">
        <f t="shared" si="2"/>
        <v>-0.007838429489</v>
      </c>
      <c r="L947" s="5">
        <f t="shared" si="3"/>
        <v>0.01711422088</v>
      </c>
      <c r="M947" s="5">
        <f t="shared" si="4"/>
        <v>0.01237156637</v>
      </c>
      <c r="Q947" s="5"/>
    </row>
    <row r="948">
      <c r="A948" s="4">
        <f>IFERROR(__xludf.DUMMYFUNCTION("""COMPUTED_VALUE"""),45657.66666666667)</f>
        <v>45657.66667</v>
      </c>
      <c r="B948" s="1">
        <f>IFERROR(__xludf.DUMMYFUNCTION("""COMPUTED_VALUE"""),250.42)</f>
        <v>250.42</v>
      </c>
      <c r="C948" s="4">
        <f>IFERROR(__xludf.DUMMYFUNCTION("""COMPUTED_VALUE"""),45657.66666666667)</f>
        <v>45657.66667</v>
      </c>
      <c r="D948" s="1">
        <f>IFERROR(__xludf.DUMMYFUNCTION("""COMPUTED_VALUE"""),421.5)</f>
        <v>421.5</v>
      </c>
      <c r="E948" s="4">
        <f>IFERROR(__xludf.DUMMYFUNCTION("""COMPUTED_VALUE"""),45657.66666666667)</f>
        <v>45657.66667</v>
      </c>
      <c r="F948" s="1">
        <f>IFERROR(__xludf.DUMMYFUNCTION("""COMPUTED_VALUE"""),107.57)</f>
        <v>107.57</v>
      </c>
      <c r="G948" s="4">
        <f>IFERROR(__xludf.DUMMYFUNCTION("""COMPUTED_VALUE"""),45657.66666666667)</f>
        <v>45657.66667</v>
      </c>
      <c r="H948" s="1">
        <f>IFERROR(__xludf.DUMMYFUNCTION("""COMPUTED_VALUE"""),144.84)</f>
        <v>144.84</v>
      </c>
      <c r="I948" s="5">
        <f t="shared" si="1"/>
        <v>-0.02623592365</v>
      </c>
      <c r="K948" s="5">
        <f t="shared" si="2"/>
        <v>-0.006927639383</v>
      </c>
      <c r="L948" s="5">
        <f t="shared" si="3"/>
        <v>-0.002417030771</v>
      </c>
      <c r="M948" s="5">
        <f t="shared" si="4"/>
        <v>0.01291079812</v>
      </c>
      <c r="Q948" s="5"/>
    </row>
    <row r="949">
      <c r="A949" s="4">
        <f>IFERROR(__xludf.DUMMYFUNCTION("""COMPUTED_VALUE"""),45659.66666666667)</f>
        <v>45659.66667</v>
      </c>
      <c r="B949" s="1">
        <f>IFERROR(__xludf.DUMMYFUNCTION("""COMPUTED_VALUE"""),243.85)</f>
        <v>243.85</v>
      </c>
      <c r="C949" s="4">
        <f>IFERROR(__xludf.DUMMYFUNCTION("""COMPUTED_VALUE"""),45659.66666666667)</f>
        <v>45659.66667</v>
      </c>
      <c r="D949" s="1">
        <f>IFERROR(__xludf.DUMMYFUNCTION("""COMPUTED_VALUE"""),418.58)</f>
        <v>418.58</v>
      </c>
      <c r="E949" s="4">
        <f>IFERROR(__xludf.DUMMYFUNCTION("""COMPUTED_VALUE"""),45659.66666666667)</f>
        <v>45659.66667</v>
      </c>
      <c r="F949" s="1">
        <f>IFERROR(__xludf.DUMMYFUNCTION("""COMPUTED_VALUE"""),107.31)</f>
        <v>107.31</v>
      </c>
      <c r="G949" s="4">
        <f>IFERROR(__xludf.DUMMYFUNCTION("""COMPUTED_VALUE"""),45659.66666666667)</f>
        <v>45659.66667</v>
      </c>
      <c r="H949" s="1">
        <f>IFERROR(__xludf.DUMMYFUNCTION("""COMPUTED_VALUE"""),146.71)</f>
        <v>146.71</v>
      </c>
      <c r="I949" s="5">
        <f t="shared" si="1"/>
        <v>-0.002009432028</v>
      </c>
      <c r="K949" s="5">
        <f t="shared" si="2"/>
        <v>0.01139567108</v>
      </c>
      <c r="L949" s="5">
        <f t="shared" si="3"/>
        <v>0.005125337806</v>
      </c>
      <c r="M949" s="5">
        <f t="shared" si="4"/>
        <v>0.007770431463</v>
      </c>
      <c r="Q949" s="5"/>
    </row>
    <row r="950">
      <c r="A950" s="4">
        <f>IFERROR(__xludf.DUMMYFUNCTION("""COMPUTED_VALUE"""),45660.66666666667)</f>
        <v>45660.66667</v>
      </c>
      <c r="B950" s="1">
        <f>IFERROR(__xludf.DUMMYFUNCTION("""COMPUTED_VALUE"""),243.36)</f>
        <v>243.36</v>
      </c>
      <c r="C950" s="4">
        <f>IFERROR(__xludf.DUMMYFUNCTION("""COMPUTED_VALUE"""),45660.66666666667)</f>
        <v>45660.66667</v>
      </c>
      <c r="D950" s="1">
        <f>IFERROR(__xludf.DUMMYFUNCTION("""COMPUTED_VALUE"""),423.35)</f>
        <v>423.35</v>
      </c>
      <c r="E950" s="4">
        <f>IFERROR(__xludf.DUMMYFUNCTION("""COMPUTED_VALUE"""),45660.66666666667)</f>
        <v>45660.66667</v>
      </c>
      <c r="F950" s="1">
        <f>IFERROR(__xludf.DUMMYFUNCTION("""COMPUTED_VALUE"""),107.86)</f>
        <v>107.86</v>
      </c>
      <c r="G950" s="4">
        <f>IFERROR(__xludf.DUMMYFUNCTION("""COMPUTED_VALUE"""),45660.66666666667)</f>
        <v>45660.66667</v>
      </c>
      <c r="H950" s="1">
        <f>IFERROR(__xludf.DUMMYFUNCTION("""COMPUTED_VALUE"""),147.85)</f>
        <v>147.85</v>
      </c>
      <c r="I950" s="5">
        <f t="shared" si="1"/>
        <v>0.006738987508</v>
      </c>
      <c r="K950" s="5">
        <f t="shared" si="2"/>
        <v>0.01062950278</v>
      </c>
      <c r="L950" s="5">
        <f t="shared" si="3"/>
        <v>-0.00111255331</v>
      </c>
      <c r="M950" s="5">
        <f t="shared" si="4"/>
        <v>-0.003990530944</v>
      </c>
      <c r="Q950" s="5"/>
    </row>
    <row r="951">
      <c r="A951" s="4">
        <f>IFERROR(__xludf.DUMMYFUNCTION("""COMPUTED_VALUE"""),45663.66666666667)</f>
        <v>45663.66667</v>
      </c>
      <c r="B951" s="1">
        <f>IFERROR(__xludf.DUMMYFUNCTION("""COMPUTED_VALUE"""),245.0)</f>
        <v>245</v>
      </c>
      <c r="C951" s="4">
        <f>IFERROR(__xludf.DUMMYFUNCTION("""COMPUTED_VALUE"""),45663.66666666667)</f>
        <v>45663.66667</v>
      </c>
      <c r="D951" s="1">
        <f>IFERROR(__xludf.DUMMYFUNCTION("""COMPUTED_VALUE"""),427.85)</f>
        <v>427.85</v>
      </c>
      <c r="E951" s="4">
        <f>IFERROR(__xludf.DUMMYFUNCTION("""COMPUTED_VALUE"""),45663.66666666667)</f>
        <v>45663.66667</v>
      </c>
      <c r="F951" s="1">
        <f>IFERROR(__xludf.DUMMYFUNCTION("""COMPUTED_VALUE"""),107.74)</f>
        <v>107.74</v>
      </c>
      <c r="G951" s="4">
        <f>IFERROR(__xludf.DUMMYFUNCTION("""COMPUTED_VALUE"""),45663.66666666667)</f>
        <v>45663.66667</v>
      </c>
      <c r="H951" s="1">
        <f>IFERROR(__xludf.DUMMYFUNCTION("""COMPUTED_VALUE"""),147.26)</f>
        <v>147.26</v>
      </c>
      <c r="I951" s="5">
        <f t="shared" si="1"/>
        <v>-0.0113877551</v>
      </c>
      <c r="K951" s="5">
        <f t="shared" si="2"/>
        <v>-0.01280822718</v>
      </c>
      <c r="L951" s="5">
        <f t="shared" si="3"/>
        <v>0.0093744199</v>
      </c>
      <c r="M951" s="5">
        <f t="shared" si="4"/>
        <v>0.01582235502</v>
      </c>
      <c r="Q951" s="5"/>
    </row>
    <row r="952">
      <c r="A952" s="4">
        <f>IFERROR(__xludf.DUMMYFUNCTION("""COMPUTED_VALUE"""),45664.66666666667)</f>
        <v>45664.66667</v>
      </c>
      <c r="B952" s="1">
        <f>IFERROR(__xludf.DUMMYFUNCTION("""COMPUTED_VALUE"""),242.21)</f>
        <v>242.21</v>
      </c>
      <c r="C952" s="4">
        <f>IFERROR(__xludf.DUMMYFUNCTION("""COMPUTED_VALUE"""),45664.66666666667)</f>
        <v>45664.66667</v>
      </c>
      <c r="D952" s="1">
        <f>IFERROR(__xludf.DUMMYFUNCTION("""COMPUTED_VALUE"""),422.37)</f>
        <v>422.37</v>
      </c>
      <c r="E952" s="4">
        <f>IFERROR(__xludf.DUMMYFUNCTION("""COMPUTED_VALUE"""),45664.66666666667)</f>
        <v>45664.66667</v>
      </c>
      <c r="F952" s="1">
        <f>IFERROR(__xludf.DUMMYFUNCTION("""COMPUTED_VALUE"""),108.75)</f>
        <v>108.75</v>
      </c>
      <c r="G952" s="4">
        <f>IFERROR(__xludf.DUMMYFUNCTION("""COMPUTED_VALUE"""),45664.66666666667)</f>
        <v>45664.66667</v>
      </c>
      <c r="H952" s="1">
        <f>IFERROR(__xludf.DUMMYFUNCTION("""COMPUTED_VALUE"""),149.59)</f>
        <v>149.59</v>
      </c>
      <c r="I952" s="5">
        <f t="shared" si="1"/>
        <v>0.00202303786</v>
      </c>
      <c r="K952" s="5">
        <f t="shared" si="2"/>
        <v>0.005185027346</v>
      </c>
      <c r="L952" s="5">
        <f t="shared" si="3"/>
        <v>-0.01673563218</v>
      </c>
      <c r="M952" s="5">
        <f t="shared" si="4"/>
        <v>0.004746306571</v>
      </c>
      <c r="Q952" s="5"/>
    </row>
    <row r="953">
      <c r="A953" s="4">
        <f>IFERROR(__xludf.DUMMYFUNCTION("""COMPUTED_VALUE"""),45665.66666666667)</f>
        <v>45665.66667</v>
      </c>
      <c r="B953" s="1">
        <f>IFERROR(__xludf.DUMMYFUNCTION("""COMPUTED_VALUE"""),242.7)</f>
        <v>242.7</v>
      </c>
      <c r="C953" s="4">
        <f>IFERROR(__xludf.DUMMYFUNCTION("""COMPUTED_VALUE"""),45665.66666666667)</f>
        <v>45665.66667</v>
      </c>
      <c r="D953" s="1">
        <f>IFERROR(__xludf.DUMMYFUNCTION("""COMPUTED_VALUE"""),424.56)</f>
        <v>424.56</v>
      </c>
      <c r="E953" s="4">
        <f>IFERROR(__xludf.DUMMYFUNCTION("""COMPUTED_VALUE"""),45665.66666666667)</f>
        <v>45665.66667</v>
      </c>
      <c r="F953" s="1">
        <f>IFERROR(__xludf.DUMMYFUNCTION("""COMPUTED_VALUE"""),106.93)</f>
        <v>106.93</v>
      </c>
      <c r="G953" s="4">
        <f>IFERROR(__xludf.DUMMYFUNCTION("""COMPUTED_VALUE"""),45665.66666666667)</f>
        <v>45665.66667</v>
      </c>
      <c r="H953" s="1">
        <f>IFERROR(__xludf.DUMMYFUNCTION("""COMPUTED_VALUE"""),150.3)</f>
        <v>150.3</v>
      </c>
      <c r="I953" s="5">
        <f t="shared" si="1"/>
        <v>-0.02410383189</v>
      </c>
      <c r="K953" s="5">
        <f t="shared" si="2"/>
        <v>-0.01321368005</v>
      </c>
      <c r="L953" s="5">
        <f t="shared" si="3"/>
        <v>-0.003647245862</v>
      </c>
      <c r="M953" s="5">
        <f t="shared" si="4"/>
        <v>0.01889554225</v>
      </c>
      <c r="Q953" s="5"/>
    </row>
    <row r="954">
      <c r="A954" s="4">
        <f>IFERROR(__xludf.DUMMYFUNCTION("""COMPUTED_VALUE"""),45667.66666666667)</f>
        <v>45667.66667</v>
      </c>
      <c r="B954" s="1">
        <f>IFERROR(__xludf.DUMMYFUNCTION("""COMPUTED_VALUE"""),236.85)</f>
        <v>236.85</v>
      </c>
      <c r="C954" s="4">
        <f>IFERROR(__xludf.DUMMYFUNCTION("""COMPUTED_VALUE"""),45667.66666666667)</f>
        <v>45667.66667</v>
      </c>
      <c r="D954" s="1">
        <f>IFERROR(__xludf.DUMMYFUNCTION("""COMPUTED_VALUE"""),418.95)</f>
        <v>418.95</v>
      </c>
      <c r="E954" s="4">
        <f>IFERROR(__xludf.DUMMYFUNCTION("""COMPUTED_VALUE"""),45667.66666666667)</f>
        <v>45667.66667</v>
      </c>
      <c r="F954" s="1">
        <f>IFERROR(__xludf.DUMMYFUNCTION("""COMPUTED_VALUE"""),106.54)</f>
        <v>106.54</v>
      </c>
      <c r="G954" s="4">
        <f>IFERROR(__xludf.DUMMYFUNCTION("""COMPUTED_VALUE"""),45667.66666666667)</f>
        <v>45667.66667</v>
      </c>
      <c r="H954" s="1">
        <f>IFERROR(__xludf.DUMMYFUNCTION("""COMPUTED_VALUE"""),153.14)</f>
        <v>153.14</v>
      </c>
      <c r="I954" s="5">
        <f t="shared" si="1"/>
        <v>-0.01034409964</v>
      </c>
      <c r="K954" s="5">
        <f t="shared" si="2"/>
        <v>-0.004200978637</v>
      </c>
      <c r="L954" s="5">
        <f t="shared" si="3"/>
        <v>0.02581190163</v>
      </c>
      <c r="M954" s="5">
        <f t="shared" si="4"/>
        <v>0.01443123939</v>
      </c>
      <c r="Q954" s="5"/>
    </row>
    <row r="955">
      <c r="A955" s="4">
        <f>IFERROR(__xludf.DUMMYFUNCTION("""COMPUTED_VALUE"""),45670.66666666667)</f>
        <v>45670.66667</v>
      </c>
      <c r="B955" s="1">
        <f>IFERROR(__xludf.DUMMYFUNCTION("""COMPUTED_VALUE"""),234.4)</f>
        <v>234.4</v>
      </c>
      <c r="C955" s="4">
        <f>IFERROR(__xludf.DUMMYFUNCTION("""COMPUTED_VALUE"""),45670.66666666667)</f>
        <v>45670.66667</v>
      </c>
      <c r="D955" s="1">
        <f>IFERROR(__xludf.DUMMYFUNCTION("""COMPUTED_VALUE"""),417.19)</f>
        <v>417.19</v>
      </c>
      <c r="E955" s="4">
        <f>IFERROR(__xludf.DUMMYFUNCTION("""COMPUTED_VALUE"""),45670.66666666667)</f>
        <v>45670.66667</v>
      </c>
      <c r="F955" s="1">
        <f>IFERROR(__xludf.DUMMYFUNCTION("""COMPUTED_VALUE"""),109.29)</f>
        <v>109.29</v>
      </c>
      <c r="G955" s="4">
        <f>IFERROR(__xludf.DUMMYFUNCTION("""COMPUTED_VALUE"""),45670.66666666667)</f>
        <v>45670.66667</v>
      </c>
      <c r="H955" s="1">
        <f>IFERROR(__xludf.DUMMYFUNCTION("""COMPUTED_VALUE"""),155.35)</f>
        <v>155.35</v>
      </c>
      <c r="I955" s="5">
        <f t="shared" si="1"/>
        <v>-0.004778156997</v>
      </c>
      <c r="K955" s="5">
        <f t="shared" si="2"/>
        <v>-0.00364342386</v>
      </c>
      <c r="L955" s="5">
        <f t="shared" si="3"/>
        <v>0.003934486229</v>
      </c>
      <c r="M955" s="5">
        <f t="shared" si="4"/>
        <v>0.009977470229</v>
      </c>
      <c r="Q955" s="5"/>
    </row>
    <row r="956">
      <c r="A956" s="4">
        <f>IFERROR(__xludf.DUMMYFUNCTION("""COMPUTED_VALUE"""),45671.66666666667)</f>
        <v>45671.66667</v>
      </c>
      <c r="B956" s="1">
        <f>IFERROR(__xludf.DUMMYFUNCTION("""COMPUTED_VALUE"""),233.28)</f>
        <v>233.28</v>
      </c>
      <c r="C956" s="4">
        <f>IFERROR(__xludf.DUMMYFUNCTION("""COMPUTED_VALUE"""),45671.66666666667)</f>
        <v>45671.66667</v>
      </c>
      <c r="D956" s="1">
        <f>IFERROR(__xludf.DUMMYFUNCTION("""COMPUTED_VALUE"""),415.67)</f>
        <v>415.67</v>
      </c>
      <c r="E956" s="4">
        <f>IFERROR(__xludf.DUMMYFUNCTION("""COMPUTED_VALUE"""),45671.66666666667)</f>
        <v>45671.66667</v>
      </c>
      <c r="F956" s="1">
        <f>IFERROR(__xludf.DUMMYFUNCTION("""COMPUTED_VALUE"""),109.72)</f>
        <v>109.72</v>
      </c>
      <c r="G956" s="4">
        <f>IFERROR(__xludf.DUMMYFUNCTION("""COMPUTED_VALUE"""),45671.66666666667)</f>
        <v>45671.66667</v>
      </c>
      <c r="H956" s="1">
        <f>IFERROR(__xludf.DUMMYFUNCTION("""COMPUTED_VALUE"""),156.9)</f>
        <v>156.9</v>
      </c>
      <c r="I956" s="5">
        <f t="shared" si="1"/>
        <v>0.01967592593</v>
      </c>
      <c r="K956" s="5">
        <f t="shared" si="2"/>
        <v>0.02559722857</v>
      </c>
      <c r="L956" s="5">
        <f t="shared" si="3"/>
        <v>0.01631425447</v>
      </c>
      <c r="M956" s="5">
        <f t="shared" si="4"/>
        <v>0.009114085405</v>
      </c>
      <c r="Q956" s="5"/>
    </row>
    <row r="957">
      <c r="A957" s="4">
        <f>IFERROR(__xludf.DUMMYFUNCTION("""COMPUTED_VALUE"""),45672.66666666667)</f>
        <v>45672.66667</v>
      </c>
      <c r="B957" s="1">
        <f>IFERROR(__xludf.DUMMYFUNCTION("""COMPUTED_VALUE"""),237.87)</f>
        <v>237.87</v>
      </c>
      <c r="C957" s="4">
        <f>IFERROR(__xludf.DUMMYFUNCTION("""COMPUTED_VALUE"""),45672.66666666667)</f>
        <v>45672.66667</v>
      </c>
      <c r="D957" s="1">
        <f>IFERROR(__xludf.DUMMYFUNCTION("""COMPUTED_VALUE"""),426.31)</f>
        <v>426.31</v>
      </c>
      <c r="E957" s="4">
        <f>IFERROR(__xludf.DUMMYFUNCTION("""COMPUTED_VALUE"""),45672.66666666667)</f>
        <v>45672.66667</v>
      </c>
      <c r="F957" s="1">
        <f>IFERROR(__xludf.DUMMYFUNCTION("""COMPUTED_VALUE"""),111.51)</f>
        <v>111.51</v>
      </c>
      <c r="G957" s="4">
        <f>IFERROR(__xludf.DUMMYFUNCTION("""COMPUTED_VALUE"""),45672.66666666667)</f>
        <v>45672.66667</v>
      </c>
      <c r="H957" s="1">
        <f>IFERROR(__xludf.DUMMYFUNCTION("""COMPUTED_VALUE"""),158.33)</f>
        <v>158.33</v>
      </c>
      <c r="I957" s="5">
        <f t="shared" si="1"/>
        <v>-0.04040021861</v>
      </c>
      <c r="K957" s="5">
        <f t="shared" si="2"/>
        <v>-0.004058079801</v>
      </c>
      <c r="L957" s="5">
        <f t="shared" si="3"/>
        <v>-0.00170388306</v>
      </c>
      <c r="M957" s="5">
        <f t="shared" si="4"/>
        <v>0.006631718562</v>
      </c>
      <c r="Q957" s="5"/>
    </row>
    <row r="958">
      <c r="A958" s="4">
        <f>IFERROR(__xludf.DUMMYFUNCTION("""COMPUTED_VALUE"""),45673.66666666667)</f>
        <v>45673.66667</v>
      </c>
      <c r="B958" s="1">
        <f>IFERROR(__xludf.DUMMYFUNCTION("""COMPUTED_VALUE"""),228.26)</f>
        <v>228.26</v>
      </c>
      <c r="C958" s="4">
        <f>IFERROR(__xludf.DUMMYFUNCTION("""COMPUTED_VALUE"""),45673.66666666667)</f>
        <v>45673.66667</v>
      </c>
      <c r="D958" s="1">
        <f>IFERROR(__xludf.DUMMYFUNCTION("""COMPUTED_VALUE"""),424.58)</f>
        <v>424.58</v>
      </c>
      <c r="E958" s="4">
        <f>IFERROR(__xludf.DUMMYFUNCTION("""COMPUTED_VALUE"""),45673.66666666667)</f>
        <v>45673.66667</v>
      </c>
      <c r="F958" s="1">
        <f>IFERROR(__xludf.DUMMYFUNCTION("""COMPUTED_VALUE"""),111.32)</f>
        <v>111.32</v>
      </c>
      <c r="G958" s="4">
        <f>IFERROR(__xludf.DUMMYFUNCTION("""COMPUTED_VALUE"""),45673.66666666667)</f>
        <v>45673.66667</v>
      </c>
      <c r="H958" s="1">
        <f>IFERROR(__xludf.DUMMYFUNCTION("""COMPUTED_VALUE"""),159.38)</f>
        <v>159.38</v>
      </c>
      <c r="I958" s="5">
        <f t="shared" si="1"/>
        <v>0.007535266801</v>
      </c>
      <c r="K958" s="5">
        <f t="shared" si="2"/>
        <v>0.01048094588</v>
      </c>
      <c r="L958" s="5">
        <f t="shared" si="3"/>
        <v>0.00898311175</v>
      </c>
      <c r="M958" s="5">
        <f t="shared" si="4"/>
        <v>0.01311331409</v>
      </c>
      <c r="Q958" s="5"/>
    </row>
    <row r="959">
      <c r="A959" s="4">
        <f>IFERROR(__xludf.DUMMYFUNCTION("""COMPUTED_VALUE"""),45674.66666666667)</f>
        <v>45674.66667</v>
      </c>
      <c r="B959" s="1">
        <f>IFERROR(__xludf.DUMMYFUNCTION("""COMPUTED_VALUE"""),229.98)</f>
        <v>229.98</v>
      </c>
      <c r="C959" s="4">
        <f>IFERROR(__xludf.DUMMYFUNCTION("""COMPUTED_VALUE"""),45674.66666666667)</f>
        <v>45674.66667</v>
      </c>
      <c r="D959" s="1">
        <f>IFERROR(__xludf.DUMMYFUNCTION("""COMPUTED_VALUE"""),429.03)</f>
        <v>429.03</v>
      </c>
      <c r="E959" s="4">
        <f>IFERROR(__xludf.DUMMYFUNCTION("""COMPUTED_VALUE"""),45674.66666666667)</f>
        <v>45674.66667</v>
      </c>
      <c r="F959" s="1">
        <f>IFERROR(__xludf.DUMMYFUNCTION("""COMPUTED_VALUE"""),112.32)</f>
        <v>112.32</v>
      </c>
      <c r="G959" s="4">
        <f>IFERROR(__xludf.DUMMYFUNCTION("""COMPUTED_VALUE"""),45674.66666666667)</f>
        <v>45674.66667</v>
      </c>
      <c r="H959" s="1">
        <f>IFERROR(__xludf.DUMMYFUNCTION("""COMPUTED_VALUE"""),161.47)</f>
        <v>161.47</v>
      </c>
      <c r="I959" s="5">
        <f t="shared" si="1"/>
        <v>-0.03191581877</v>
      </c>
      <c r="K959" s="5">
        <f t="shared" si="2"/>
        <v>-0.001235344848</v>
      </c>
      <c r="L959" s="5">
        <f t="shared" si="3"/>
        <v>-0.007567663818</v>
      </c>
      <c r="M959" s="5">
        <f t="shared" si="4"/>
        <v>-0.02000371586</v>
      </c>
      <c r="Q959" s="5"/>
    </row>
    <row r="960">
      <c r="A960" s="4">
        <f>IFERROR(__xludf.DUMMYFUNCTION("""COMPUTED_VALUE"""),45678.66666666667)</f>
        <v>45678.66667</v>
      </c>
      <c r="B960" s="1">
        <f>IFERROR(__xludf.DUMMYFUNCTION("""COMPUTED_VALUE"""),222.64)</f>
        <v>222.64</v>
      </c>
      <c r="C960" s="4">
        <f>IFERROR(__xludf.DUMMYFUNCTION("""COMPUTED_VALUE"""),45678.66666666667)</f>
        <v>45678.66667</v>
      </c>
      <c r="D960" s="1">
        <f>IFERROR(__xludf.DUMMYFUNCTION("""COMPUTED_VALUE"""),428.5)</f>
        <v>428.5</v>
      </c>
      <c r="E960" s="4">
        <f>IFERROR(__xludf.DUMMYFUNCTION("""COMPUTED_VALUE"""),45678.66666666667)</f>
        <v>45678.66667</v>
      </c>
      <c r="F960" s="1">
        <f>IFERROR(__xludf.DUMMYFUNCTION("""COMPUTED_VALUE"""),111.47)</f>
        <v>111.47</v>
      </c>
      <c r="G960" s="4">
        <f>IFERROR(__xludf.DUMMYFUNCTION("""COMPUTED_VALUE"""),45678.66666666667)</f>
        <v>45678.66667</v>
      </c>
      <c r="H960" s="1">
        <f>IFERROR(__xludf.DUMMYFUNCTION("""COMPUTED_VALUE"""),158.24)</f>
        <v>158.24</v>
      </c>
      <c r="I960" s="5">
        <f t="shared" si="1"/>
        <v>0.005344951491</v>
      </c>
      <c r="K960" s="5">
        <f t="shared" si="2"/>
        <v>0.04130688448</v>
      </c>
      <c r="L960" s="5">
        <f t="shared" si="3"/>
        <v>-0.01740378577</v>
      </c>
      <c r="M960" s="5">
        <f t="shared" si="4"/>
        <v>-0.01156471183</v>
      </c>
      <c r="Q960" s="5"/>
    </row>
    <row r="961">
      <c r="A961" s="4">
        <f>IFERROR(__xludf.DUMMYFUNCTION("""COMPUTED_VALUE"""),45679.66666666667)</f>
        <v>45679.66667</v>
      </c>
      <c r="B961" s="1">
        <f>IFERROR(__xludf.DUMMYFUNCTION("""COMPUTED_VALUE"""),223.83)</f>
        <v>223.83</v>
      </c>
      <c r="C961" s="4">
        <f>IFERROR(__xludf.DUMMYFUNCTION("""COMPUTED_VALUE"""),45679.66666666667)</f>
        <v>45679.66667</v>
      </c>
      <c r="D961" s="1">
        <f>IFERROR(__xludf.DUMMYFUNCTION("""COMPUTED_VALUE"""),446.2)</f>
        <v>446.2</v>
      </c>
      <c r="E961" s="4">
        <f>IFERROR(__xludf.DUMMYFUNCTION("""COMPUTED_VALUE"""),45679.66666666667)</f>
        <v>45679.66667</v>
      </c>
      <c r="F961" s="1">
        <f>IFERROR(__xludf.DUMMYFUNCTION("""COMPUTED_VALUE"""),109.53)</f>
        <v>109.53</v>
      </c>
      <c r="G961" s="4">
        <f>IFERROR(__xludf.DUMMYFUNCTION("""COMPUTED_VALUE"""),45679.66666666667)</f>
        <v>45679.66667</v>
      </c>
      <c r="H961" s="1">
        <f>IFERROR(__xludf.DUMMYFUNCTION("""COMPUTED_VALUE"""),156.41)</f>
        <v>156.41</v>
      </c>
      <c r="I961" s="5">
        <f t="shared" si="1"/>
        <v>-0.0007595049815</v>
      </c>
      <c r="K961" s="5">
        <f t="shared" si="2"/>
        <v>0.001142985208</v>
      </c>
      <c r="L961" s="5">
        <f t="shared" si="3"/>
        <v>0.005660549621</v>
      </c>
      <c r="M961" s="5">
        <f t="shared" si="4"/>
        <v>-0.002557381242</v>
      </c>
      <c r="Q961" s="5"/>
    </row>
    <row r="962">
      <c r="A962" s="4">
        <f>IFERROR(__xludf.DUMMYFUNCTION("""COMPUTED_VALUE"""),45680.66666666667)</f>
        <v>45680.66667</v>
      </c>
      <c r="B962" s="1">
        <f>IFERROR(__xludf.DUMMYFUNCTION("""COMPUTED_VALUE"""),223.66)</f>
        <v>223.66</v>
      </c>
      <c r="C962" s="4">
        <f>IFERROR(__xludf.DUMMYFUNCTION("""COMPUTED_VALUE"""),45680.66666666667)</f>
        <v>45680.66667</v>
      </c>
      <c r="D962" s="1">
        <f>IFERROR(__xludf.DUMMYFUNCTION("""COMPUTED_VALUE"""),446.71)</f>
        <v>446.71</v>
      </c>
      <c r="E962" s="4">
        <f>IFERROR(__xludf.DUMMYFUNCTION("""COMPUTED_VALUE"""),45680.66666666667)</f>
        <v>45680.66667</v>
      </c>
      <c r="F962" s="1">
        <f>IFERROR(__xludf.DUMMYFUNCTION("""COMPUTED_VALUE"""),110.15)</f>
        <v>110.15</v>
      </c>
      <c r="G962" s="4">
        <f>IFERROR(__xludf.DUMMYFUNCTION("""COMPUTED_VALUE"""),45680.66666666667)</f>
        <v>45680.66667</v>
      </c>
      <c r="H962" s="1">
        <f>IFERROR(__xludf.DUMMYFUNCTION("""COMPUTED_VALUE"""),156.01)</f>
        <v>156.01</v>
      </c>
      <c r="I962" s="5">
        <f t="shared" si="1"/>
        <v>-0.003934543504</v>
      </c>
      <c r="K962" s="5">
        <f t="shared" si="2"/>
        <v>-0.005932260303</v>
      </c>
      <c r="L962" s="5">
        <f t="shared" si="3"/>
        <v>-0.01352700862</v>
      </c>
      <c r="M962" s="5">
        <f t="shared" si="4"/>
        <v>-0.002307544388</v>
      </c>
      <c r="Q962" s="5"/>
    </row>
    <row r="963">
      <c r="A963" s="4">
        <f>IFERROR(__xludf.DUMMYFUNCTION("""COMPUTED_VALUE"""),45681.66666666667)</f>
        <v>45681.66667</v>
      </c>
      <c r="B963" s="1">
        <f>IFERROR(__xludf.DUMMYFUNCTION("""COMPUTED_VALUE"""),222.78)</f>
        <v>222.78</v>
      </c>
      <c r="C963" s="4">
        <f>IFERROR(__xludf.DUMMYFUNCTION("""COMPUTED_VALUE"""),45681.66666666667)</f>
        <v>45681.66667</v>
      </c>
      <c r="D963" s="1">
        <f>IFERROR(__xludf.DUMMYFUNCTION("""COMPUTED_VALUE"""),444.06)</f>
        <v>444.06</v>
      </c>
      <c r="E963" s="4">
        <f>IFERROR(__xludf.DUMMYFUNCTION("""COMPUTED_VALUE"""),45681.66666666667)</f>
        <v>45681.66667</v>
      </c>
      <c r="F963" s="1">
        <f>IFERROR(__xludf.DUMMYFUNCTION("""COMPUTED_VALUE"""),108.66)</f>
        <v>108.66</v>
      </c>
      <c r="G963" s="4">
        <f>IFERROR(__xludf.DUMMYFUNCTION("""COMPUTED_VALUE"""),45681.66666666667)</f>
        <v>45681.66667</v>
      </c>
      <c r="H963" s="1">
        <f>IFERROR(__xludf.DUMMYFUNCTION("""COMPUTED_VALUE"""),155.65)</f>
        <v>155.65</v>
      </c>
      <c r="I963" s="5">
        <f t="shared" si="1"/>
        <v>0.03178023162</v>
      </c>
      <c r="K963" s="5">
        <f t="shared" si="2"/>
        <v>-0.02139350538</v>
      </c>
      <c r="L963" s="5">
        <f t="shared" si="3"/>
        <v>0.01389655807</v>
      </c>
      <c r="M963" s="5">
        <f t="shared" si="4"/>
        <v>0.01015097976</v>
      </c>
      <c r="Q963" s="5"/>
    </row>
    <row r="964">
      <c r="A964" s="4">
        <f>IFERROR(__xludf.DUMMYFUNCTION("""COMPUTED_VALUE"""),45684.66666666667)</f>
        <v>45684.66667</v>
      </c>
      <c r="B964" s="1">
        <f>IFERROR(__xludf.DUMMYFUNCTION("""COMPUTED_VALUE"""),229.86)</f>
        <v>229.86</v>
      </c>
      <c r="C964" s="4">
        <f>IFERROR(__xludf.DUMMYFUNCTION("""COMPUTED_VALUE"""),45684.66666666667)</f>
        <v>45684.66667</v>
      </c>
      <c r="D964" s="1">
        <f>IFERROR(__xludf.DUMMYFUNCTION("""COMPUTED_VALUE"""),434.56)</f>
        <v>434.56</v>
      </c>
      <c r="E964" s="4">
        <f>IFERROR(__xludf.DUMMYFUNCTION("""COMPUTED_VALUE"""),45684.66666666667)</f>
        <v>45684.66667</v>
      </c>
      <c r="F964" s="1">
        <f>IFERROR(__xludf.DUMMYFUNCTION("""COMPUTED_VALUE"""),110.17)</f>
        <v>110.17</v>
      </c>
      <c r="G964" s="4">
        <f>IFERROR(__xludf.DUMMYFUNCTION("""COMPUTED_VALUE"""),45684.66666666667)</f>
        <v>45684.66667</v>
      </c>
      <c r="H964" s="1">
        <f>IFERROR(__xludf.DUMMYFUNCTION("""COMPUTED_VALUE"""),157.23)</f>
        <v>157.23</v>
      </c>
      <c r="I964" s="5">
        <f t="shared" si="1"/>
        <v>0.03654398329</v>
      </c>
      <c r="K964" s="5">
        <f t="shared" si="2"/>
        <v>0.02908689249</v>
      </c>
      <c r="L964" s="5">
        <f t="shared" si="3"/>
        <v>-0.01933375692</v>
      </c>
      <c r="M964" s="5">
        <f t="shared" si="4"/>
        <v>-0.006487311582</v>
      </c>
      <c r="Q964" s="5"/>
    </row>
    <row r="965">
      <c r="A965" s="4">
        <f>IFERROR(__xludf.DUMMYFUNCTION("""COMPUTED_VALUE"""),45685.66666666667)</f>
        <v>45685.66667</v>
      </c>
      <c r="B965" s="1">
        <f>IFERROR(__xludf.DUMMYFUNCTION("""COMPUTED_VALUE"""),238.26)</f>
        <v>238.26</v>
      </c>
      <c r="C965" s="4">
        <f>IFERROR(__xludf.DUMMYFUNCTION("""COMPUTED_VALUE"""),45685.66666666667)</f>
        <v>45685.66667</v>
      </c>
      <c r="D965" s="1">
        <f>IFERROR(__xludf.DUMMYFUNCTION("""COMPUTED_VALUE"""),447.2)</f>
        <v>447.2</v>
      </c>
      <c r="E965" s="4">
        <f>IFERROR(__xludf.DUMMYFUNCTION("""COMPUTED_VALUE"""),45685.66666666667)</f>
        <v>45685.66667</v>
      </c>
      <c r="F965" s="1">
        <f>IFERROR(__xludf.DUMMYFUNCTION("""COMPUTED_VALUE"""),108.04)</f>
        <v>108.04</v>
      </c>
      <c r="G965" s="4">
        <f>IFERROR(__xludf.DUMMYFUNCTION("""COMPUTED_VALUE"""),45685.66666666667)</f>
        <v>45685.66667</v>
      </c>
      <c r="H965" s="1">
        <f>IFERROR(__xludf.DUMMYFUNCTION("""COMPUTED_VALUE"""),156.21)</f>
        <v>156.21</v>
      </c>
      <c r="I965" s="5">
        <f t="shared" si="1"/>
        <v>0.004616805171</v>
      </c>
      <c r="K965" s="5">
        <f t="shared" si="2"/>
        <v>-0.01088998211</v>
      </c>
      <c r="L965" s="5">
        <f t="shared" si="3"/>
        <v>0.005831173639</v>
      </c>
      <c r="M965" s="5">
        <f t="shared" si="4"/>
        <v>-0.003328852186</v>
      </c>
      <c r="Q965" s="5"/>
    </row>
    <row r="966">
      <c r="A966" s="4">
        <f>IFERROR(__xludf.DUMMYFUNCTION("""COMPUTED_VALUE"""),45686.66666666667)</f>
        <v>45686.66667</v>
      </c>
      <c r="B966" s="1">
        <f>IFERROR(__xludf.DUMMYFUNCTION("""COMPUTED_VALUE"""),239.36)</f>
        <v>239.36</v>
      </c>
      <c r="C966" s="4">
        <f>IFERROR(__xludf.DUMMYFUNCTION("""COMPUTED_VALUE"""),45686.66666666667)</f>
        <v>45686.66667</v>
      </c>
      <c r="D966" s="1">
        <f>IFERROR(__xludf.DUMMYFUNCTION("""COMPUTED_VALUE"""),442.33)</f>
        <v>442.33</v>
      </c>
      <c r="E966" s="4">
        <f>IFERROR(__xludf.DUMMYFUNCTION("""COMPUTED_VALUE"""),45686.66666666667)</f>
        <v>45686.66667</v>
      </c>
      <c r="F966" s="1">
        <f>IFERROR(__xludf.DUMMYFUNCTION("""COMPUTED_VALUE"""),108.67)</f>
        <v>108.67</v>
      </c>
      <c r="G966" s="4">
        <f>IFERROR(__xludf.DUMMYFUNCTION("""COMPUTED_VALUE"""),45686.66666666667)</f>
        <v>45686.66667</v>
      </c>
      <c r="H966" s="1">
        <f>IFERROR(__xludf.DUMMYFUNCTION("""COMPUTED_VALUE"""),155.69)</f>
        <v>155.69</v>
      </c>
      <c r="I966" s="5">
        <f t="shared" si="1"/>
        <v>-0.007394719251</v>
      </c>
      <c r="K966" s="5">
        <f t="shared" si="2"/>
        <v>-0.06180905659</v>
      </c>
      <c r="L966" s="5">
        <f t="shared" si="3"/>
        <v>0.008281954541</v>
      </c>
      <c r="M966" s="5">
        <f t="shared" si="4"/>
        <v>0.004046502666</v>
      </c>
      <c r="Q966" s="5"/>
    </row>
    <row r="967">
      <c r="A967" s="4">
        <f>IFERROR(__xludf.DUMMYFUNCTION("""COMPUTED_VALUE"""),45687.66666666667)</f>
        <v>45687.66667</v>
      </c>
      <c r="B967" s="1">
        <f>IFERROR(__xludf.DUMMYFUNCTION("""COMPUTED_VALUE"""),237.59)</f>
        <v>237.59</v>
      </c>
      <c r="C967" s="4">
        <f>IFERROR(__xludf.DUMMYFUNCTION("""COMPUTED_VALUE"""),45687.66666666667)</f>
        <v>45687.66667</v>
      </c>
      <c r="D967" s="1">
        <f>IFERROR(__xludf.DUMMYFUNCTION("""COMPUTED_VALUE"""),414.99)</f>
        <v>414.99</v>
      </c>
      <c r="E967" s="4">
        <f>IFERROR(__xludf.DUMMYFUNCTION("""COMPUTED_VALUE"""),45687.66666666667)</f>
        <v>45687.66667</v>
      </c>
      <c r="F967" s="1">
        <f>IFERROR(__xludf.DUMMYFUNCTION("""COMPUTED_VALUE"""),109.57)</f>
        <v>109.57</v>
      </c>
      <c r="G967" s="4">
        <f>IFERROR(__xludf.DUMMYFUNCTION("""COMPUTED_VALUE"""),45687.66666666667)</f>
        <v>45687.66667</v>
      </c>
      <c r="H967" s="1">
        <f>IFERROR(__xludf.DUMMYFUNCTION("""COMPUTED_VALUE"""),156.32)</f>
        <v>156.32</v>
      </c>
      <c r="I967" s="5">
        <f t="shared" si="1"/>
        <v>-0.00669220085</v>
      </c>
      <c r="K967" s="5">
        <f t="shared" si="2"/>
        <v>0.0001686787633</v>
      </c>
      <c r="L967" s="5">
        <f t="shared" si="3"/>
        <v>-0.02500684494</v>
      </c>
      <c r="M967" s="5">
        <f t="shared" si="4"/>
        <v>-0.04561156602</v>
      </c>
      <c r="Q967" s="5"/>
    </row>
    <row r="968">
      <c r="A968" s="4">
        <f>IFERROR(__xludf.DUMMYFUNCTION("""COMPUTED_VALUE"""),45688.66666666667)</f>
        <v>45688.66667</v>
      </c>
      <c r="B968" s="1">
        <f>IFERROR(__xludf.DUMMYFUNCTION("""COMPUTED_VALUE"""),236.0)</f>
        <v>236</v>
      </c>
      <c r="C968" s="4">
        <f>IFERROR(__xludf.DUMMYFUNCTION("""COMPUTED_VALUE"""),45688.66666666667)</f>
        <v>45688.66667</v>
      </c>
      <c r="D968" s="1">
        <f>IFERROR(__xludf.DUMMYFUNCTION("""COMPUTED_VALUE"""),415.06)</f>
        <v>415.06</v>
      </c>
      <c r="E968" s="4">
        <f>IFERROR(__xludf.DUMMYFUNCTION("""COMPUTED_VALUE"""),45688.66666666667)</f>
        <v>45688.66667</v>
      </c>
      <c r="F968" s="1">
        <f>IFERROR(__xludf.DUMMYFUNCTION("""COMPUTED_VALUE"""),106.83)</f>
        <v>106.83</v>
      </c>
      <c r="G968" s="4">
        <f>IFERROR(__xludf.DUMMYFUNCTION("""COMPUTED_VALUE"""),45688.66666666667)</f>
        <v>45688.66667</v>
      </c>
      <c r="H968" s="1">
        <f>IFERROR(__xludf.DUMMYFUNCTION("""COMPUTED_VALUE"""),149.19)</f>
        <v>149.19</v>
      </c>
      <c r="I968" s="5">
        <f t="shared" si="1"/>
        <v>-0.0338559322</v>
      </c>
      <c r="K968" s="5">
        <f t="shared" si="2"/>
        <v>-0.009974461524</v>
      </c>
      <c r="L968" s="5">
        <f t="shared" si="3"/>
        <v>0.002433773285</v>
      </c>
      <c r="M968" s="5">
        <f t="shared" si="4"/>
        <v>0.001005429318</v>
      </c>
      <c r="Q968" s="5"/>
    </row>
    <row r="969">
      <c r="A969" s="4">
        <f>IFERROR(__xludf.DUMMYFUNCTION("""COMPUTED_VALUE"""),45691.66666666667)</f>
        <v>45691.66667</v>
      </c>
      <c r="B969" s="1">
        <f>IFERROR(__xludf.DUMMYFUNCTION("""COMPUTED_VALUE"""),228.01)</f>
        <v>228.01</v>
      </c>
      <c r="C969" s="4">
        <f>IFERROR(__xludf.DUMMYFUNCTION("""COMPUTED_VALUE"""),45691.66666666667)</f>
        <v>45691.66667</v>
      </c>
      <c r="D969" s="1">
        <f>IFERROR(__xludf.DUMMYFUNCTION("""COMPUTED_VALUE"""),410.92)</f>
        <v>410.92</v>
      </c>
      <c r="E969" s="4">
        <f>IFERROR(__xludf.DUMMYFUNCTION("""COMPUTED_VALUE"""),45691.66666666667)</f>
        <v>45691.66667</v>
      </c>
      <c r="F969" s="1">
        <f>IFERROR(__xludf.DUMMYFUNCTION("""COMPUTED_VALUE"""),107.09)</f>
        <v>107.09</v>
      </c>
      <c r="G969" s="4">
        <f>IFERROR(__xludf.DUMMYFUNCTION("""COMPUTED_VALUE"""),45691.66666666667)</f>
        <v>45691.66667</v>
      </c>
      <c r="H969" s="1">
        <f>IFERROR(__xludf.DUMMYFUNCTION("""COMPUTED_VALUE"""),149.34)</f>
        <v>149.34</v>
      </c>
      <c r="I969" s="5">
        <f t="shared" si="1"/>
        <v>0.02100785053</v>
      </c>
      <c r="K969" s="5">
        <f t="shared" si="2"/>
        <v>0.003528667381</v>
      </c>
      <c r="L969" s="5">
        <f t="shared" si="3"/>
        <v>0.02679988794</v>
      </c>
      <c r="M969" s="5">
        <f t="shared" si="4"/>
        <v>0.02598098299</v>
      </c>
      <c r="Q969" s="5"/>
    </row>
    <row r="970">
      <c r="A970" s="4">
        <f>IFERROR(__xludf.DUMMYFUNCTION("""COMPUTED_VALUE"""),45692.66666666667)</f>
        <v>45692.66667</v>
      </c>
      <c r="B970" s="1">
        <f>IFERROR(__xludf.DUMMYFUNCTION("""COMPUTED_VALUE"""),232.8)</f>
        <v>232.8</v>
      </c>
      <c r="C970" s="4">
        <f>IFERROR(__xludf.DUMMYFUNCTION("""COMPUTED_VALUE"""),45692.66666666667)</f>
        <v>45692.66667</v>
      </c>
      <c r="D970" s="1">
        <f>IFERROR(__xludf.DUMMYFUNCTION("""COMPUTED_VALUE"""),412.37)</f>
        <v>412.37</v>
      </c>
      <c r="E970" s="4">
        <f>IFERROR(__xludf.DUMMYFUNCTION("""COMPUTED_VALUE"""),45692.66666666667)</f>
        <v>45692.66667</v>
      </c>
      <c r="F970" s="1">
        <f>IFERROR(__xludf.DUMMYFUNCTION("""COMPUTED_VALUE"""),109.96)</f>
        <v>109.96</v>
      </c>
      <c r="G970" s="4">
        <f>IFERROR(__xludf.DUMMYFUNCTION("""COMPUTED_VALUE"""),45692.66666666667)</f>
        <v>45692.66667</v>
      </c>
      <c r="H970" s="1">
        <f>IFERROR(__xludf.DUMMYFUNCTION("""COMPUTED_VALUE"""),153.22)</f>
        <v>153.22</v>
      </c>
      <c r="I970" s="5">
        <f t="shared" si="1"/>
        <v>-0.001417525773</v>
      </c>
      <c r="K970" s="5">
        <f t="shared" si="2"/>
        <v>0.002231006135</v>
      </c>
      <c r="L970" s="5">
        <f t="shared" si="3"/>
        <v>-0.0007275372863</v>
      </c>
      <c r="M970" s="5">
        <f t="shared" si="4"/>
        <v>-0.001501109516</v>
      </c>
      <c r="Q970" s="5"/>
    </row>
    <row r="971">
      <c r="A971" s="4">
        <f>IFERROR(__xludf.DUMMYFUNCTION("""COMPUTED_VALUE"""),45693.66666666667)</f>
        <v>45693.66667</v>
      </c>
      <c r="B971" s="1">
        <f>IFERROR(__xludf.DUMMYFUNCTION("""COMPUTED_VALUE"""),232.47)</f>
        <v>232.47</v>
      </c>
      <c r="C971" s="4">
        <f>IFERROR(__xludf.DUMMYFUNCTION("""COMPUTED_VALUE"""),45693.66666666667)</f>
        <v>45693.66667</v>
      </c>
      <c r="D971" s="1">
        <f>IFERROR(__xludf.DUMMYFUNCTION("""COMPUTED_VALUE"""),413.29)</f>
        <v>413.29</v>
      </c>
      <c r="E971" s="4">
        <f>IFERROR(__xludf.DUMMYFUNCTION("""COMPUTED_VALUE"""),45693.66666666667)</f>
        <v>45693.66667</v>
      </c>
      <c r="F971" s="1">
        <f>IFERROR(__xludf.DUMMYFUNCTION("""COMPUTED_VALUE"""),109.88)</f>
        <v>109.88</v>
      </c>
      <c r="G971" s="4">
        <f>IFERROR(__xludf.DUMMYFUNCTION("""COMPUTED_VALUE"""),45693.66666666667)</f>
        <v>45693.66667</v>
      </c>
      <c r="H971" s="1">
        <f>IFERROR(__xludf.DUMMYFUNCTION("""COMPUTED_VALUE"""),152.99)</f>
        <v>152.99</v>
      </c>
      <c r="I971" s="5">
        <f t="shared" si="1"/>
        <v>0.003226222738</v>
      </c>
      <c r="K971" s="5">
        <f t="shared" si="2"/>
        <v>0.006121609524</v>
      </c>
      <c r="L971" s="5">
        <f t="shared" si="3"/>
        <v>-0.01319621405</v>
      </c>
      <c r="M971" s="5">
        <f t="shared" si="4"/>
        <v>-0.00712464867</v>
      </c>
      <c r="Q971" s="5"/>
    </row>
    <row r="972">
      <c r="A972" s="4">
        <f>IFERROR(__xludf.DUMMYFUNCTION("""COMPUTED_VALUE"""),45694.66666666667)</f>
        <v>45694.66667</v>
      </c>
      <c r="B972" s="1">
        <f>IFERROR(__xludf.DUMMYFUNCTION("""COMPUTED_VALUE"""),233.22)</f>
        <v>233.22</v>
      </c>
      <c r="C972" s="4">
        <f>IFERROR(__xludf.DUMMYFUNCTION("""COMPUTED_VALUE"""),45694.66666666667)</f>
        <v>45694.66667</v>
      </c>
      <c r="D972" s="1">
        <f>IFERROR(__xludf.DUMMYFUNCTION("""COMPUTED_VALUE"""),415.82)</f>
        <v>415.82</v>
      </c>
      <c r="E972" s="4">
        <f>IFERROR(__xludf.DUMMYFUNCTION("""COMPUTED_VALUE"""),45694.66666666667)</f>
        <v>45694.66667</v>
      </c>
      <c r="F972" s="1">
        <f>IFERROR(__xludf.DUMMYFUNCTION("""COMPUTED_VALUE"""),108.43)</f>
        <v>108.43</v>
      </c>
      <c r="G972" s="4">
        <f>IFERROR(__xludf.DUMMYFUNCTION("""COMPUTED_VALUE"""),45694.66666666667)</f>
        <v>45694.66667</v>
      </c>
      <c r="H972" s="1">
        <f>IFERROR(__xludf.DUMMYFUNCTION("""COMPUTED_VALUE"""),151.9)</f>
        <v>151.9</v>
      </c>
      <c r="I972" s="5">
        <f t="shared" si="1"/>
        <v>-0.02396878484</v>
      </c>
      <c r="K972" s="5">
        <f t="shared" si="2"/>
        <v>-0.01459766245</v>
      </c>
      <c r="L972" s="5">
        <f t="shared" si="3"/>
        <v>0.004242368348</v>
      </c>
      <c r="M972" s="5">
        <f t="shared" si="4"/>
        <v>0.0047399605</v>
      </c>
      <c r="Q972" s="5"/>
    </row>
    <row r="973">
      <c r="A973" s="4">
        <f>IFERROR(__xludf.DUMMYFUNCTION("""COMPUTED_VALUE"""),45695.66666666667)</f>
        <v>45695.66667</v>
      </c>
      <c r="B973" s="1">
        <f>IFERROR(__xludf.DUMMYFUNCTION("""COMPUTED_VALUE"""),227.63)</f>
        <v>227.63</v>
      </c>
      <c r="C973" s="4">
        <f>IFERROR(__xludf.DUMMYFUNCTION("""COMPUTED_VALUE"""),45695.66666666667)</f>
        <v>45695.66667</v>
      </c>
      <c r="D973" s="1">
        <f>IFERROR(__xludf.DUMMYFUNCTION("""COMPUTED_VALUE"""),409.75)</f>
        <v>409.75</v>
      </c>
      <c r="E973" s="4">
        <f>IFERROR(__xludf.DUMMYFUNCTION("""COMPUTED_VALUE"""),45695.66666666667)</f>
        <v>45695.66667</v>
      </c>
      <c r="F973" s="1">
        <f>IFERROR(__xludf.DUMMYFUNCTION("""COMPUTED_VALUE"""),108.89)</f>
        <v>108.89</v>
      </c>
      <c r="G973" s="4">
        <f>IFERROR(__xludf.DUMMYFUNCTION("""COMPUTED_VALUE"""),45695.66666666667)</f>
        <v>45695.66667</v>
      </c>
      <c r="H973" s="1">
        <f>IFERROR(__xludf.DUMMYFUNCTION("""COMPUTED_VALUE"""),152.62)</f>
        <v>152.62</v>
      </c>
      <c r="I973" s="5">
        <f t="shared" si="1"/>
        <v>0.00008786188112</v>
      </c>
      <c r="K973" s="5">
        <f t="shared" si="2"/>
        <v>0.006028065894</v>
      </c>
      <c r="L973" s="5">
        <f t="shared" si="3"/>
        <v>0.0191018459</v>
      </c>
      <c r="M973" s="5">
        <f t="shared" si="4"/>
        <v>0.02063949679</v>
      </c>
      <c r="Q973" s="5"/>
    </row>
    <row r="974">
      <c r="A974" s="4">
        <f>IFERROR(__xludf.DUMMYFUNCTION("""COMPUTED_VALUE"""),45698.66666666667)</f>
        <v>45698.66667</v>
      </c>
      <c r="B974" s="1">
        <f>IFERROR(__xludf.DUMMYFUNCTION("""COMPUTED_VALUE"""),227.65)</f>
        <v>227.65</v>
      </c>
      <c r="C974" s="4">
        <f>IFERROR(__xludf.DUMMYFUNCTION("""COMPUTED_VALUE"""),45698.66666666667)</f>
        <v>45698.66667</v>
      </c>
      <c r="D974" s="1">
        <f>IFERROR(__xludf.DUMMYFUNCTION("""COMPUTED_VALUE"""),412.22)</f>
        <v>412.22</v>
      </c>
      <c r="E974" s="4">
        <f>IFERROR(__xludf.DUMMYFUNCTION("""COMPUTED_VALUE"""),45698.66666666667)</f>
        <v>45698.66667</v>
      </c>
      <c r="F974" s="1">
        <f>IFERROR(__xludf.DUMMYFUNCTION("""COMPUTED_VALUE"""),110.97)</f>
        <v>110.97</v>
      </c>
      <c r="G974" s="4">
        <f>IFERROR(__xludf.DUMMYFUNCTION("""COMPUTED_VALUE"""),45698.66666666667)</f>
        <v>45698.66667</v>
      </c>
      <c r="H974" s="1">
        <f>IFERROR(__xludf.DUMMYFUNCTION("""COMPUTED_VALUE"""),155.77)</f>
        <v>155.77</v>
      </c>
      <c r="I974" s="5">
        <f t="shared" si="1"/>
        <v>0.02183175928</v>
      </c>
      <c r="K974" s="5">
        <f t="shared" si="2"/>
        <v>-0.001892193489</v>
      </c>
      <c r="L974" s="5">
        <f t="shared" si="3"/>
        <v>0.006308011174</v>
      </c>
      <c r="M974" s="5">
        <f t="shared" si="4"/>
        <v>0.01072093471</v>
      </c>
      <c r="Q974" s="5"/>
    </row>
    <row r="975">
      <c r="A975" s="4">
        <f>IFERROR(__xludf.DUMMYFUNCTION("""COMPUTED_VALUE"""),45699.66666666667)</f>
        <v>45699.66667</v>
      </c>
      <c r="B975" s="1">
        <f>IFERROR(__xludf.DUMMYFUNCTION("""COMPUTED_VALUE"""),232.62)</f>
        <v>232.62</v>
      </c>
      <c r="C975" s="4">
        <f>IFERROR(__xludf.DUMMYFUNCTION("""COMPUTED_VALUE"""),45699.66666666667)</f>
        <v>45699.66667</v>
      </c>
      <c r="D975" s="1">
        <f>IFERROR(__xludf.DUMMYFUNCTION("""COMPUTED_VALUE"""),411.44)</f>
        <v>411.44</v>
      </c>
      <c r="E975" s="4">
        <f>IFERROR(__xludf.DUMMYFUNCTION("""COMPUTED_VALUE"""),45699.66666666667)</f>
        <v>45699.66667</v>
      </c>
      <c r="F975" s="1">
        <f>IFERROR(__xludf.DUMMYFUNCTION("""COMPUTED_VALUE"""),111.67)</f>
        <v>111.67</v>
      </c>
      <c r="G975" s="4">
        <f>IFERROR(__xludf.DUMMYFUNCTION("""COMPUTED_VALUE"""),45699.66666666667)</f>
        <v>45699.66667</v>
      </c>
      <c r="H975" s="1">
        <f>IFERROR(__xludf.DUMMYFUNCTION("""COMPUTED_VALUE"""),157.44)</f>
        <v>157.44</v>
      </c>
      <c r="I975" s="5">
        <f t="shared" si="1"/>
        <v>0.01827014014</v>
      </c>
      <c r="K975" s="5">
        <f t="shared" si="2"/>
        <v>-0.005833171301</v>
      </c>
      <c r="L975" s="5">
        <f t="shared" si="3"/>
        <v>-0.03868541238</v>
      </c>
      <c r="M975" s="5">
        <f t="shared" si="4"/>
        <v>-0.01613313008</v>
      </c>
      <c r="Q975" s="5"/>
    </row>
    <row r="976">
      <c r="A976" s="4">
        <f>IFERROR(__xludf.DUMMYFUNCTION("""COMPUTED_VALUE"""),45700.66666666667)</f>
        <v>45700.66667</v>
      </c>
      <c r="B976" s="1">
        <f>IFERROR(__xludf.DUMMYFUNCTION("""COMPUTED_VALUE"""),236.87)</f>
        <v>236.87</v>
      </c>
      <c r="C976" s="4">
        <f>IFERROR(__xludf.DUMMYFUNCTION("""COMPUTED_VALUE"""),45700.66666666667)</f>
        <v>45700.66667</v>
      </c>
      <c r="D976" s="1">
        <f>IFERROR(__xludf.DUMMYFUNCTION("""COMPUTED_VALUE"""),409.04)</f>
        <v>409.04</v>
      </c>
      <c r="E976" s="4">
        <f>IFERROR(__xludf.DUMMYFUNCTION("""COMPUTED_VALUE"""),45700.66666666667)</f>
        <v>45700.66667</v>
      </c>
      <c r="F976" s="1">
        <f>IFERROR(__xludf.DUMMYFUNCTION("""COMPUTED_VALUE"""),107.35)</f>
        <v>107.35</v>
      </c>
      <c r="G976" s="4">
        <f>IFERROR(__xludf.DUMMYFUNCTION("""COMPUTED_VALUE"""),45700.66666666667)</f>
        <v>45700.66667</v>
      </c>
      <c r="H976" s="1">
        <f>IFERROR(__xludf.DUMMYFUNCTION("""COMPUTED_VALUE"""),154.9)</f>
        <v>154.9</v>
      </c>
      <c r="I976" s="5">
        <f t="shared" si="1"/>
        <v>0.01967323849</v>
      </c>
      <c r="K976" s="5">
        <f t="shared" si="2"/>
        <v>0.00366712302</v>
      </c>
      <c r="L976" s="5">
        <f t="shared" si="3"/>
        <v>0.007265952492</v>
      </c>
      <c r="M976" s="5">
        <f t="shared" si="4"/>
        <v>0.006326662363</v>
      </c>
      <c r="Q976" s="5"/>
    </row>
    <row r="977">
      <c r="A977" s="4">
        <f>IFERROR(__xludf.DUMMYFUNCTION("""COMPUTED_VALUE"""),45701.66666666667)</f>
        <v>45701.66667</v>
      </c>
      <c r="B977" s="1">
        <f>IFERROR(__xludf.DUMMYFUNCTION("""COMPUTED_VALUE"""),241.53)</f>
        <v>241.53</v>
      </c>
      <c r="C977" s="4">
        <f>IFERROR(__xludf.DUMMYFUNCTION("""COMPUTED_VALUE"""),45701.66666666667)</f>
        <v>45701.66667</v>
      </c>
      <c r="D977" s="1">
        <f>IFERROR(__xludf.DUMMYFUNCTION("""COMPUTED_VALUE"""),410.54)</f>
        <v>410.54</v>
      </c>
      <c r="E977" s="4">
        <f>IFERROR(__xludf.DUMMYFUNCTION("""COMPUTED_VALUE"""),45701.66666666667)</f>
        <v>45701.66667</v>
      </c>
      <c r="F977" s="1">
        <f>IFERROR(__xludf.DUMMYFUNCTION("""COMPUTED_VALUE"""),108.13)</f>
        <v>108.13</v>
      </c>
      <c r="G977" s="4">
        <f>IFERROR(__xludf.DUMMYFUNCTION("""COMPUTED_VALUE"""),45701.66666666667)</f>
        <v>45701.66667</v>
      </c>
      <c r="H977" s="1">
        <f>IFERROR(__xludf.DUMMYFUNCTION("""COMPUTED_VALUE"""),155.88)</f>
        <v>155.88</v>
      </c>
      <c r="I977" s="5">
        <f t="shared" si="1"/>
        <v>0.01271063636</v>
      </c>
      <c r="K977" s="5">
        <f t="shared" si="2"/>
        <v>-0.005139572271</v>
      </c>
      <c r="L977" s="5">
        <f t="shared" si="3"/>
        <v>0.001017293998</v>
      </c>
      <c r="M977" s="5">
        <f t="shared" si="4"/>
        <v>-0.003464203233</v>
      </c>
      <c r="Q977" s="5"/>
    </row>
    <row r="978">
      <c r="A978" s="4">
        <f>IFERROR(__xludf.DUMMYFUNCTION("""COMPUTED_VALUE"""),45702.66666666667)</f>
        <v>45702.66667</v>
      </c>
      <c r="B978" s="1">
        <f>IFERROR(__xludf.DUMMYFUNCTION("""COMPUTED_VALUE"""),244.6)</f>
        <v>244.6</v>
      </c>
      <c r="C978" s="4">
        <f>IFERROR(__xludf.DUMMYFUNCTION("""COMPUTED_VALUE"""),45702.66666666667)</f>
        <v>45702.66667</v>
      </c>
      <c r="D978" s="1">
        <f>IFERROR(__xludf.DUMMYFUNCTION("""COMPUTED_VALUE"""),408.43)</f>
        <v>408.43</v>
      </c>
      <c r="E978" s="4">
        <f>IFERROR(__xludf.DUMMYFUNCTION("""COMPUTED_VALUE"""),45702.66666666667)</f>
        <v>45702.66667</v>
      </c>
      <c r="F978" s="1">
        <f>IFERROR(__xludf.DUMMYFUNCTION("""COMPUTED_VALUE"""),108.24)</f>
        <v>108.24</v>
      </c>
      <c r="G978" s="4">
        <f>IFERROR(__xludf.DUMMYFUNCTION("""COMPUTED_VALUE"""),45702.66666666667)</f>
        <v>45702.66667</v>
      </c>
      <c r="H978" s="1">
        <f>IFERROR(__xludf.DUMMYFUNCTION("""COMPUTED_VALUE"""),155.34)</f>
        <v>155.34</v>
      </c>
      <c r="I978" s="5">
        <f t="shared" si="1"/>
        <v>-0.0005314799673</v>
      </c>
      <c r="K978" s="5">
        <f t="shared" si="2"/>
        <v>0.002962563964</v>
      </c>
      <c r="L978" s="5">
        <f t="shared" si="3"/>
        <v>0.01755358463</v>
      </c>
      <c r="M978" s="5">
        <f t="shared" si="4"/>
        <v>0.005278743402</v>
      </c>
      <c r="Q978" s="5"/>
    </row>
    <row r="979">
      <c r="A979" s="4">
        <f>IFERROR(__xludf.DUMMYFUNCTION("""COMPUTED_VALUE"""),45706.66666666667)</f>
        <v>45706.66667</v>
      </c>
      <c r="B979" s="1">
        <f>IFERROR(__xludf.DUMMYFUNCTION("""COMPUTED_VALUE"""),244.47)</f>
        <v>244.47</v>
      </c>
      <c r="C979" s="4">
        <f>IFERROR(__xludf.DUMMYFUNCTION("""COMPUTED_VALUE"""),45706.66666666667)</f>
        <v>45706.66667</v>
      </c>
      <c r="D979" s="1">
        <f>IFERROR(__xludf.DUMMYFUNCTION("""COMPUTED_VALUE"""),409.64)</f>
        <v>409.64</v>
      </c>
      <c r="E979" s="4">
        <f>IFERROR(__xludf.DUMMYFUNCTION("""COMPUTED_VALUE"""),45706.66666666667)</f>
        <v>45706.66667</v>
      </c>
      <c r="F979" s="1">
        <f>IFERROR(__xludf.DUMMYFUNCTION("""COMPUTED_VALUE"""),110.14)</f>
        <v>110.14</v>
      </c>
      <c r="G979" s="4">
        <f>IFERROR(__xludf.DUMMYFUNCTION("""COMPUTED_VALUE"""),45706.66666666667)</f>
        <v>45706.66667</v>
      </c>
      <c r="H979" s="1">
        <f>IFERROR(__xludf.DUMMYFUNCTION("""COMPUTED_VALUE"""),156.16)</f>
        <v>156.16</v>
      </c>
      <c r="I979" s="5">
        <f t="shared" si="1"/>
        <v>0.00163619258</v>
      </c>
      <c r="K979" s="5">
        <f t="shared" si="2"/>
        <v>0.01252319109</v>
      </c>
      <c r="L979" s="5">
        <f t="shared" si="3"/>
        <v>0.001452696568</v>
      </c>
      <c r="M979" s="5">
        <f t="shared" si="4"/>
        <v>0.006851946721</v>
      </c>
      <c r="Q979" s="5"/>
    </row>
    <row r="980">
      <c r="A980" s="4">
        <f>IFERROR(__xludf.DUMMYFUNCTION("""COMPUTED_VALUE"""),45707.66666666667)</f>
        <v>45707.66667</v>
      </c>
      <c r="B980" s="1">
        <f>IFERROR(__xludf.DUMMYFUNCTION("""COMPUTED_VALUE"""),244.87)</f>
        <v>244.87</v>
      </c>
      <c r="C980" s="4">
        <f>IFERROR(__xludf.DUMMYFUNCTION("""COMPUTED_VALUE"""),45707.66666666667)</f>
        <v>45707.66667</v>
      </c>
      <c r="D980" s="1">
        <f>IFERROR(__xludf.DUMMYFUNCTION("""COMPUTED_VALUE"""),414.77)</f>
        <v>414.77</v>
      </c>
      <c r="E980" s="4">
        <f>IFERROR(__xludf.DUMMYFUNCTION("""COMPUTED_VALUE"""),45707.66666666667)</f>
        <v>45707.66667</v>
      </c>
      <c r="F980" s="1">
        <f>IFERROR(__xludf.DUMMYFUNCTION("""COMPUTED_VALUE"""),110.3)</f>
        <v>110.3</v>
      </c>
      <c r="G980" s="4">
        <f>IFERROR(__xludf.DUMMYFUNCTION("""COMPUTED_VALUE"""),45707.66666666667)</f>
        <v>45707.66667</v>
      </c>
      <c r="H980" s="1">
        <f>IFERROR(__xludf.DUMMYFUNCTION("""COMPUTED_VALUE"""),157.23)</f>
        <v>157.23</v>
      </c>
      <c r="I980" s="5">
        <f t="shared" si="1"/>
        <v>0.003920447584</v>
      </c>
      <c r="K980" s="5">
        <f t="shared" si="2"/>
        <v>0.00327892567</v>
      </c>
      <c r="L980" s="5">
        <f t="shared" si="3"/>
        <v>0.01541251133</v>
      </c>
      <c r="M980" s="5">
        <f t="shared" si="4"/>
        <v>0.009921770654</v>
      </c>
      <c r="Q980" s="5"/>
    </row>
    <row r="981">
      <c r="A981" s="4">
        <f>IFERROR(__xludf.DUMMYFUNCTION("""COMPUTED_VALUE"""),45708.66666666667)</f>
        <v>45708.66667</v>
      </c>
      <c r="B981" s="1">
        <f>IFERROR(__xludf.DUMMYFUNCTION("""COMPUTED_VALUE"""),245.83)</f>
        <v>245.83</v>
      </c>
      <c r="C981" s="4">
        <f>IFERROR(__xludf.DUMMYFUNCTION("""COMPUTED_VALUE"""),45708.66666666667)</f>
        <v>45708.66667</v>
      </c>
      <c r="D981" s="1">
        <f>IFERROR(__xludf.DUMMYFUNCTION("""COMPUTED_VALUE"""),416.13)</f>
        <v>416.13</v>
      </c>
      <c r="E981" s="4">
        <f>IFERROR(__xludf.DUMMYFUNCTION("""COMPUTED_VALUE"""),45708.66666666667)</f>
        <v>45708.66667</v>
      </c>
      <c r="F981" s="1">
        <f>IFERROR(__xludf.DUMMYFUNCTION("""COMPUTED_VALUE"""),112.0)</f>
        <v>112</v>
      </c>
      <c r="G981" s="4">
        <f>IFERROR(__xludf.DUMMYFUNCTION("""COMPUTED_VALUE"""),45708.66666666667)</f>
        <v>45708.66667</v>
      </c>
      <c r="H981" s="1">
        <f>IFERROR(__xludf.DUMMYFUNCTION("""COMPUTED_VALUE"""),158.79)</f>
        <v>158.79</v>
      </c>
      <c r="I981" s="5">
        <f t="shared" si="1"/>
        <v>-0.001138998495</v>
      </c>
      <c r="K981" s="5">
        <f t="shared" si="2"/>
        <v>-0.01903251388</v>
      </c>
      <c r="L981" s="5">
        <f t="shared" si="3"/>
        <v>-0.01169642857</v>
      </c>
      <c r="M981" s="5">
        <f t="shared" si="4"/>
        <v>-0.01177656024</v>
      </c>
      <c r="Q981" s="5"/>
    </row>
    <row r="982">
      <c r="A982" s="4">
        <f>IFERROR(__xludf.DUMMYFUNCTION("""COMPUTED_VALUE"""),45709.66666666667)</f>
        <v>45709.66667</v>
      </c>
      <c r="B982" s="1">
        <f>IFERROR(__xludf.DUMMYFUNCTION("""COMPUTED_VALUE"""),245.55)</f>
        <v>245.55</v>
      </c>
      <c r="C982" s="4">
        <f>IFERROR(__xludf.DUMMYFUNCTION("""COMPUTED_VALUE"""),45709.66666666667)</f>
        <v>45709.66667</v>
      </c>
      <c r="D982" s="1">
        <f>IFERROR(__xludf.DUMMYFUNCTION("""COMPUTED_VALUE"""),408.21)</f>
        <v>408.21</v>
      </c>
      <c r="E982" s="4">
        <f>IFERROR(__xludf.DUMMYFUNCTION("""COMPUTED_VALUE"""),45709.66666666667)</f>
        <v>45709.66667</v>
      </c>
      <c r="F982" s="1">
        <f>IFERROR(__xludf.DUMMYFUNCTION("""COMPUTED_VALUE"""),110.69)</f>
        <v>110.69</v>
      </c>
      <c r="G982" s="4">
        <f>IFERROR(__xludf.DUMMYFUNCTION("""COMPUTED_VALUE"""),45709.66666666667)</f>
        <v>45709.66667</v>
      </c>
      <c r="H982" s="1">
        <f>IFERROR(__xludf.DUMMYFUNCTION("""COMPUTED_VALUE"""),156.92)</f>
        <v>156.92</v>
      </c>
      <c r="I982" s="5">
        <f t="shared" si="1"/>
        <v>0.006312360008</v>
      </c>
      <c r="K982" s="5">
        <f t="shared" si="2"/>
        <v>-0.01031331912</v>
      </c>
      <c r="L982" s="5">
        <f t="shared" si="3"/>
        <v>0.005239859066</v>
      </c>
      <c r="M982" s="5">
        <f t="shared" si="4"/>
        <v>0.006181493755</v>
      </c>
      <c r="Q982" s="5"/>
    </row>
    <row r="983">
      <c r="A983" s="4">
        <f>IFERROR(__xludf.DUMMYFUNCTION("""COMPUTED_VALUE"""),45712.66666666667)</f>
        <v>45712.66667</v>
      </c>
      <c r="B983" s="1">
        <f>IFERROR(__xludf.DUMMYFUNCTION("""COMPUTED_VALUE"""),247.1)</f>
        <v>247.1</v>
      </c>
      <c r="C983" s="4">
        <f>IFERROR(__xludf.DUMMYFUNCTION("""COMPUTED_VALUE"""),45712.66666666667)</f>
        <v>45712.66667</v>
      </c>
      <c r="D983" s="1">
        <f>IFERROR(__xludf.DUMMYFUNCTION("""COMPUTED_VALUE"""),404.0)</f>
        <v>404</v>
      </c>
      <c r="E983" s="4">
        <f>IFERROR(__xludf.DUMMYFUNCTION("""COMPUTED_VALUE"""),45712.66666666667)</f>
        <v>45712.66667</v>
      </c>
      <c r="F983" s="1">
        <f>IFERROR(__xludf.DUMMYFUNCTION("""COMPUTED_VALUE"""),111.27)</f>
        <v>111.27</v>
      </c>
      <c r="G983" s="4">
        <f>IFERROR(__xludf.DUMMYFUNCTION("""COMPUTED_VALUE"""),45712.66666666667)</f>
        <v>45712.66667</v>
      </c>
      <c r="H983" s="1">
        <f>IFERROR(__xludf.DUMMYFUNCTION("""COMPUTED_VALUE"""),157.89)</f>
        <v>157.89</v>
      </c>
      <c r="I983" s="5">
        <f t="shared" si="1"/>
        <v>-0.0002428166734</v>
      </c>
      <c r="K983" s="5">
        <f t="shared" si="2"/>
        <v>-0.0150990099</v>
      </c>
      <c r="L983" s="5">
        <f t="shared" si="3"/>
        <v>-0.0138402085</v>
      </c>
      <c r="M983" s="5">
        <f t="shared" si="4"/>
        <v>-0.009310279308</v>
      </c>
      <c r="Q983" s="5"/>
    </row>
    <row r="984">
      <c r="A984" s="4">
        <f>IFERROR(__xludf.DUMMYFUNCTION("""COMPUTED_VALUE"""),45713.66666666667)</f>
        <v>45713.66667</v>
      </c>
      <c r="B984" s="1">
        <f>IFERROR(__xludf.DUMMYFUNCTION("""COMPUTED_VALUE"""),247.04)</f>
        <v>247.04</v>
      </c>
      <c r="C984" s="4">
        <f>IFERROR(__xludf.DUMMYFUNCTION("""COMPUTED_VALUE"""),45713.66666666667)</f>
        <v>45713.66667</v>
      </c>
      <c r="D984" s="1">
        <f>IFERROR(__xludf.DUMMYFUNCTION("""COMPUTED_VALUE"""),397.9)</f>
        <v>397.9</v>
      </c>
      <c r="E984" s="4">
        <f>IFERROR(__xludf.DUMMYFUNCTION("""COMPUTED_VALUE"""),45713.66666666667)</f>
        <v>45713.66667</v>
      </c>
      <c r="F984" s="1">
        <f>IFERROR(__xludf.DUMMYFUNCTION("""COMPUTED_VALUE"""),109.73)</f>
        <v>109.73</v>
      </c>
      <c r="G984" s="4">
        <f>IFERROR(__xludf.DUMMYFUNCTION("""COMPUTED_VALUE"""),45713.66666666667)</f>
        <v>45713.66667</v>
      </c>
      <c r="H984" s="1">
        <f>IFERROR(__xludf.DUMMYFUNCTION("""COMPUTED_VALUE"""),156.42)</f>
        <v>156.42</v>
      </c>
      <c r="I984" s="5">
        <f t="shared" si="1"/>
        <v>-0.02704015544</v>
      </c>
      <c r="K984" s="5">
        <f t="shared" si="2"/>
        <v>0.004599145514</v>
      </c>
      <c r="L984" s="5">
        <f t="shared" si="3"/>
        <v>-0.002460585072</v>
      </c>
      <c r="M984" s="5">
        <f t="shared" si="4"/>
        <v>-0.008183096791</v>
      </c>
      <c r="Q984" s="5"/>
    </row>
    <row r="985">
      <c r="A985" s="4">
        <f>IFERROR(__xludf.DUMMYFUNCTION("""COMPUTED_VALUE"""),45714.66666666667)</f>
        <v>45714.66667</v>
      </c>
      <c r="B985" s="1">
        <f>IFERROR(__xludf.DUMMYFUNCTION("""COMPUTED_VALUE"""),240.36)</f>
        <v>240.36</v>
      </c>
      <c r="C985" s="4">
        <f>IFERROR(__xludf.DUMMYFUNCTION("""COMPUTED_VALUE"""),45714.66666666667)</f>
        <v>45714.66667</v>
      </c>
      <c r="D985" s="1">
        <f>IFERROR(__xludf.DUMMYFUNCTION("""COMPUTED_VALUE"""),399.73)</f>
        <v>399.73</v>
      </c>
      <c r="E985" s="4">
        <f>IFERROR(__xludf.DUMMYFUNCTION("""COMPUTED_VALUE"""),45714.66666666667)</f>
        <v>45714.66667</v>
      </c>
      <c r="F985" s="1">
        <f>IFERROR(__xludf.DUMMYFUNCTION("""COMPUTED_VALUE"""),109.46)</f>
        <v>109.46</v>
      </c>
      <c r="G985" s="4">
        <f>IFERROR(__xludf.DUMMYFUNCTION("""COMPUTED_VALUE"""),45714.66666666667)</f>
        <v>45714.66667</v>
      </c>
      <c r="H985" s="1">
        <f>IFERROR(__xludf.DUMMYFUNCTION("""COMPUTED_VALUE"""),155.14)</f>
        <v>155.14</v>
      </c>
      <c r="I985" s="5">
        <f t="shared" si="1"/>
        <v>-0.01273090364</v>
      </c>
      <c r="K985" s="5">
        <f t="shared" si="2"/>
        <v>-0.01801215821</v>
      </c>
      <c r="L985" s="5">
        <f t="shared" si="3"/>
        <v>0.006303672574</v>
      </c>
      <c r="M985" s="5">
        <f t="shared" si="4"/>
        <v>0.009862060075</v>
      </c>
      <c r="Q985" s="5"/>
    </row>
    <row r="986">
      <c r="A986" s="4">
        <f>IFERROR(__xludf.DUMMYFUNCTION("""COMPUTED_VALUE"""),45715.66666666667)</f>
        <v>45715.66667</v>
      </c>
      <c r="B986" s="1">
        <f>IFERROR(__xludf.DUMMYFUNCTION("""COMPUTED_VALUE"""),237.3)</f>
        <v>237.3</v>
      </c>
      <c r="C986" s="4">
        <f>IFERROR(__xludf.DUMMYFUNCTION("""COMPUTED_VALUE"""),45715.66666666667)</f>
        <v>45715.66667</v>
      </c>
      <c r="D986" s="1">
        <f>IFERROR(__xludf.DUMMYFUNCTION("""COMPUTED_VALUE"""),392.53)</f>
        <v>392.53</v>
      </c>
      <c r="E986" s="4">
        <f>IFERROR(__xludf.DUMMYFUNCTION("""COMPUTED_VALUE"""),45715.66666666667)</f>
        <v>45715.66667</v>
      </c>
      <c r="F986" s="1">
        <f>IFERROR(__xludf.DUMMYFUNCTION("""COMPUTED_VALUE"""),110.15)</f>
        <v>110.15</v>
      </c>
      <c r="G986" s="4">
        <f>IFERROR(__xludf.DUMMYFUNCTION("""COMPUTED_VALUE"""),45715.66666666667)</f>
        <v>45715.66667</v>
      </c>
      <c r="H986" s="1">
        <f>IFERROR(__xludf.DUMMYFUNCTION("""COMPUTED_VALUE"""),156.67)</f>
        <v>156.67</v>
      </c>
      <c r="I986" s="5">
        <f t="shared" si="1"/>
        <v>0.01913190055</v>
      </c>
      <c r="K986" s="5">
        <f t="shared" si="2"/>
        <v>0.01136218888</v>
      </c>
      <c r="L986" s="5">
        <f t="shared" si="3"/>
        <v>0.01071266455</v>
      </c>
      <c r="M986" s="5">
        <f t="shared" si="4"/>
        <v>0.01244654369</v>
      </c>
      <c r="Q986" s="5"/>
    </row>
    <row r="987">
      <c r="A987" s="4">
        <f>IFERROR(__xludf.DUMMYFUNCTION("""COMPUTED_VALUE"""),45716.66666666667)</f>
        <v>45716.66667</v>
      </c>
      <c r="B987" s="1">
        <f>IFERROR(__xludf.DUMMYFUNCTION("""COMPUTED_VALUE"""),241.84)</f>
        <v>241.84</v>
      </c>
      <c r="C987" s="4">
        <f>IFERROR(__xludf.DUMMYFUNCTION("""COMPUTED_VALUE"""),45716.66666666667)</f>
        <v>45716.66667</v>
      </c>
      <c r="D987" s="1">
        <f>IFERROR(__xludf.DUMMYFUNCTION("""COMPUTED_VALUE"""),396.99)</f>
        <v>396.99</v>
      </c>
      <c r="E987" s="4">
        <f>IFERROR(__xludf.DUMMYFUNCTION("""COMPUTED_VALUE"""),45716.66666666667)</f>
        <v>45716.66667</v>
      </c>
      <c r="F987" s="1">
        <f>IFERROR(__xludf.DUMMYFUNCTION("""COMPUTED_VALUE"""),111.33)</f>
        <v>111.33</v>
      </c>
      <c r="G987" s="4">
        <f>IFERROR(__xludf.DUMMYFUNCTION("""COMPUTED_VALUE"""),45716.66666666667)</f>
        <v>45716.66667</v>
      </c>
      <c r="H987" s="1">
        <f>IFERROR(__xludf.DUMMYFUNCTION("""COMPUTED_VALUE"""),158.62)</f>
        <v>158.62</v>
      </c>
      <c r="I987" s="5">
        <f t="shared" si="1"/>
        <v>-0.01575421766</v>
      </c>
      <c r="K987" s="5">
        <f t="shared" si="2"/>
        <v>-0.02141111867</v>
      </c>
      <c r="L987" s="5">
        <f t="shared" si="3"/>
        <v>-0.03206682835</v>
      </c>
      <c r="M987" s="5">
        <f t="shared" si="4"/>
        <v>-0.03486319506</v>
      </c>
      <c r="Q987" s="5"/>
    </row>
    <row r="988">
      <c r="A988" s="4">
        <f>IFERROR(__xludf.DUMMYFUNCTION("""COMPUTED_VALUE"""),45719.66666666667)</f>
        <v>45719.66667</v>
      </c>
      <c r="B988" s="1">
        <f>IFERROR(__xludf.DUMMYFUNCTION("""COMPUTED_VALUE"""),238.03)</f>
        <v>238.03</v>
      </c>
      <c r="C988" s="4">
        <f>IFERROR(__xludf.DUMMYFUNCTION("""COMPUTED_VALUE"""),45719.66666666667)</f>
        <v>45719.66667</v>
      </c>
      <c r="D988" s="1">
        <f>IFERROR(__xludf.DUMMYFUNCTION("""COMPUTED_VALUE"""),388.49)</f>
        <v>388.49</v>
      </c>
      <c r="E988" s="4">
        <f>IFERROR(__xludf.DUMMYFUNCTION("""COMPUTED_VALUE"""),45719.66666666667)</f>
        <v>45719.66667</v>
      </c>
      <c r="F988" s="1">
        <f>IFERROR(__xludf.DUMMYFUNCTION("""COMPUTED_VALUE"""),107.76)</f>
        <v>107.76</v>
      </c>
      <c r="G988" s="4">
        <f>IFERROR(__xludf.DUMMYFUNCTION("""COMPUTED_VALUE"""),45719.66666666667)</f>
        <v>45719.66667</v>
      </c>
      <c r="H988" s="1">
        <f>IFERROR(__xludf.DUMMYFUNCTION("""COMPUTED_VALUE"""),153.09)</f>
        <v>153.09</v>
      </c>
      <c r="I988" s="5">
        <f t="shared" si="1"/>
        <v>-0.008822417342</v>
      </c>
      <c r="K988" s="5">
        <f t="shared" si="2"/>
        <v>0.0003088882597</v>
      </c>
      <c r="L988" s="5">
        <f t="shared" si="3"/>
        <v>-0.002041573868</v>
      </c>
      <c r="M988" s="5">
        <f t="shared" si="4"/>
        <v>-0.007119994774</v>
      </c>
      <c r="Q988" s="5"/>
    </row>
    <row r="989">
      <c r="A989" s="4">
        <f>IFERROR(__xludf.DUMMYFUNCTION("""COMPUTED_VALUE"""),45720.66666666667)</f>
        <v>45720.66667</v>
      </c>
      <c r="B989" s="1">
        <f>IFERROR(__xludf.DUMMYFUNCTION("""COMPUTED_VALUE"""),235.93)</f>
        <v>235.93</v>
      </c>
      <c r="C989" s="4">
        <f>IFERROR(__xludf.DUMMYFUNCTION("""COMPUTED_VALUE"""),45720.66666666667)</f>
        <v>45720.66667</v>
      </c>
      <c r="D989" s="1">
        <f>IFERROR(__xludf.DUMMYFUNCTION("""COMPUTED_VALUE"""),388.61)</f>
        <v>388.61</v>
      </c>
      <c r="E989" s="4">
        <f>IFERROR(__xludf.DUMMYFUNCTION("""COMPUTED_VALUE"""),45720.66666666667)</f>
        <v>45720.66667</v>
      </c>
      <c r="F989" s="1">
        <f>IFERROR(__xludf.DUMMYFUNCTION("""COMPUTED_VALUE"""),107.54)</f>
        <v>107.54</v>
      </c>
      <c r="G989" s="4">
        <f>IFERROR(__xludf.DUMMYFUNCTION("""COMPUTED_VALUE"""),45720.66666666667)</f>
        <v>45720.66667</v>
      </c>
      <c r="H989" s="1">
        <f>IFERROR(__xludf.DUMMYFUNCTION("""COMPUTED_VALUE"""),152.0)</f>
        <v>152</v>
      </c>
      <c r="I989" s="5">
        <f t="shared" si="1"/>
        <v>-0.0008053236129</v>
      </c>
      <c r="K989" s="5">
        <f t="shared" si="2"/>
        <v>0.03193433005</v>
      </c>
      <c r="L989" s="5">
        <f t="shared" si="3"/>
        <v>-0.01952761763</v>
      </c>
      <c r="M989" s="5">
        <f t="shared" si="4"/>
        <v>-0.007828947368</v>
      </c>
      <c r="Q989" s="5"/>
    </row>
    <row r="990">
      <c r="A990" s="4">
        <f>IFERROR(__xludf.DUMMYFUNCTION("""COMPUTED_VALUE"""),45721.66666666667)</f>
        <v>45721.66667</v>
      </c>
      <c r="B990" s="1">
        <f>IFERROR(__xludf.DUMMYFUNCTION("""COMPUTED_VALUE"""),235.74)</f>
        <v>235.74</v>
      </c>
      <c r="C990" s="4">
        <f>IFERROR(__xludf.DUMMYFUNCTION("""COMPUTED_VALUE"""),45721.66666666667)</f>
        <v>45721.66667</v>
      </c>
      <c r="D990" s="1">
        <f>IFERROR(__xludf.DUMMYFUNCTION("""COMPUTED_VALUE"""),401.02)</f>
        <v>401.02</v>
      </c>
      <c r="E990" s="4">
        <f>IFERROR(__xludf.DUMMYFUNCTION("""COMPUTED_VALUE"""),45721.66666666667)</f>
        <v>45721.66667</v>
      </c>
      <c r="F990" s="1">
        <f>IFERROR(__xludf.DUMMYFUNCTION("""COMPUTED_VALUE"""),105.44)</f>
        <v>105.44</v>
      </c>
      <c r="G990" s="4">
        <f>IFERROR(__xludf.DUMMYFUNCTION("""COMPUTED_VALUE"""),45721.66666666667)</f>
        <v>45721.66667</v>
      </c>
      <c r="H990" s="1">
        <f>IFERROR(__xludf.DUMMYFUNCTION("""COMPUTED_VALUE"""),150.81)</f>
        <v>150.81</v>
      </c>
      <c r="I990" s="5">
        <f t="shared" si="1"/>
        <v>-0.001739204208</v>
      </c>
      <c r="K990" s="5">
        <f t="shared" si="2"/>
        <v>-0.01029873822</v>
      </c>
      <c r="L990" s="5">
        <f t="shared" si="3"/>
        <v>0.02067526555</v>
      </c>
      <c r="M990" s="5">
        <f t="shared" si="4"/>
        <v>0.01419004045</v>
      </c>
      <c r="Q990" s="5"/>
    </row>
    <row r="991">
      <c r="A991" s="4">
        <f>IFERROR(__xludf.DUMMYFUNCTION("""COMPUTED_VALUE"""),45722.66666666667)</f>
        <v>45722.66667</v>
      </c>
      <c r="B991" s="1">
        <f>IFERROR(__xludf.DUMMYFUNCTION("""COMPUTED_VALUE"""),235.33)</f>
        <v>235.33</v>
      </c>
      <c r="C991" s="4">
        <f>IFERROR(__xludf.DUMMYFUNCTION("""COMPUTED_VALUE"""),45722.66666666667)</f>
        <v>45722.66667</v>
      </c>
      <c r="D991" s="1">
        <f>IFERROR(__xludf.DUMMYFUNCTION("""COMPUTED_VALUE"""),396.89)</f>
        <v>396.89</v>
      </c>
      <c r="E991" s="4">
        <f>IFERROR(__xludf.DUMMYFUNCTION("""COMPUTED_VALUE"""),45722.66666666667)</f>
        <v>45722.66667</v>
      </c>
      <c r="F991" s="1">
        <f>IFERROR(__xludf.DUMMYFUNCTION("""COMPUTED_VALUE"""),107.62)</f>
        <v>107.62</v>
      </c>
      <c r="G991" s="4">
        <f>IFERROR(__xludf.DUMMYFUNCTION("""COMPUTED_VALUE"""),45722.66666666667)</f>
        <v>45722.66667</v>
      </c>
      <c r="H991" s="1">
        <f>IFERROR(__xludf.DUMMYFUNCTION("""COMPUTED_VALUE"""),152.95)</f>
        <v>152.95</v>
      </c>
      <c r="I991" s="5">
        <f t="shared" si="1"/>
        <v>0.01589257638</v>
      </c>
      <c r="K991" s="5">
        <f t="shared" si="2"/>
        <v>-0.009020131523</v>
      </c>
      <c r="L991" s="5">
        <f t="shared" si="3"/>
        <v>0.01300873444</v>
      </c>
      <c r="M991" s="5">
        <f t="shared" si="4"/>
        <v>0.02216410592</v>
      </c>
      <c r="Q991" s="5"/>
    </row>
    <row r="992">
      <c r="A992" s="4">
        <f>IFERROR(__xludf.DUMMYFUNCTION("""COMPUTED_VALUE"""),45723.66666666667)</f>
        <v>45723.66667</v>
      </c>
      <c r="B992" s="1">
        <f>IFERROR(__xludf.DUMMYFUNCTION("""COMPUTED_VALUE"""),239.07)</f>
        <v>239.07</v>
      </c>
      <c r="C992" s="4">
        <f>IFERROR(__xludf.DUMMYFUNCTION("""COMPUTED_VALUE"""),45723.66666666667)</f>
        <v>45723.66667</v>
      </c>
      <c r="D992" s="1">
        <f>IFERROR(__xludf.DUMMYFUNCTION("""COMPUTED_VALUE"""),393.31)</f>
        <v>393.31</v>
      </c>
      <c r="E992" s="4">
        <f>IFERROR(__xludf.DUMMYFUNCTION("""COMPUTED_VALUE"""),45723.66666666667)</f>
        <v>45723.66667</v>
      </c>
      <c r="F992" s="1">
        <f>IFERROR(__xludf.DUMMYFUNCTION("""COMPUTED_VALUE"""),109.02)</f>
        <v>109.02</v>
      </c>
      <c r="G992" s="4">
        <f>IFERROR(__xludf.DUMMYFUNCTION("""COMPUTED_VALUE"""),45723.66666666667)</f>
        <v>45723.66667</v>
      </c>
      <c r="H992" s="1">
        <f>IFERROR(__xludf.DUMMYFUNCTION("""COMPUTED_VALUE"""),156.34)</f>
        <v>156.34</v>
      </c>
      <c r="I992" s="5">
        <f t="shared" si="1"/>
        <v>-0.04847952483</v>
      </c>
      <c r="K992" s="5">
        <f t="shared" si="2"/>
        <v>-0.03343418677</v>
      </c>
      <c r="L992" s="5">
        <f t="shared" si="3"/>
        <v>0.02549990827</v>
      </c>
      <c r="M992" s="5">
        <f t="shared" si="4"/>
        <v>0.007867468338</v>
      </c>
      <c r="Q992" s="5"/>
    </row>
    <row r="993">
      <c r="A993" s="4">
        <f>IFERROR(__xludf.DUMMYFUNCTION("""COMPUTED_VALUE"""),45726.66666666667)</f>
        <v>45726.66667</v>
      </c>
      <c r="B993" s="1">
        <f>IFERROR(__xludf.DUMMYFUNCTION("""COMPUTED_VALUE"""),227.48)</f>
        <v>227.48</v>
      </c>
      <c r="C993" s="4">
        <f>IFERROR(__xludf.DUMMYFUNCTION("""COMPUTED_VALUE"""),45726.66666666667)</f>
        <v>45726.66667</v>
      </c>
      <c r="D993" s="1">
        <f>IFERROR(__xludf.DUMMYFUNCTION("""COMPUTED_VALUE"""),380.16)</f>
        <v>380.16</v>
      </c>
      <c r="E993" s="4">
        <f>IFERROR(__xludf.DUMMYFUNCTION("""COMPUTED_VALUE"""),45726.66666666667)</f>
        <v>45726.66667</v>
      </c>
      <c r="F993" s="1">
        <f>IFERROR(__xludf.DUMMYFUNCTION("""COMPUTED_VALUE"""),111.8)</f>
        <v>111.8</v>
      </c>
      <c r="G993" s="4">
        <f>IFERROR(__xludf.DUMMYFUNCTION("""COMPUTED_VALUE"""),45726.66666666667)</f>
        <v>45726.66667</v>
      </c>
      <c r="H993" s="1">
        <f>IFERROR(__xludf.DUMMYFUNCTION("""COMPUTED_VALUE"""),157.57)</f>
        <v>157.57</v>
      </c>
      <c r="I993" s="5">
        <f t="shared" si="1"/>
        <v>-0.02918937929</v>
      </c>
      <c r="K993" s="5">
        <f t="shared" si="2"/>
        <v>0.0007628367003</v>
      </c>
      <c r="L993" s="5">
        <f t="shared" si="3"/>
        <v>-0.02361359571</v>
      </c>
      <c r="M993" s="5">
        <f t="shared" si="4"/>
        <v>-0.02214888621</v>
      </c>
      <c r="Q993" s="5"/>
    </row>
    <row r="994">
      <c r="A994" s="4">
        <f>IFERROR(__xludf.DUMMYFUNCTION("""COMPUTED_VALUE"""),45727.66666666667)</f>
        <v>45727.66667</v>
      </c>
      <c r="B994" s="1">
        <f>IFERROR(__xludf.DUMMYFUNCTION("""COMPUTED_VALUE"""),220.84)</f>
        <v>220.84</v>
      </c>
      <c r="C994" s="4">
        <f>IFERROR(__xludf.DUMMYFUNCTION("""COMPUTED_VALUE"""),45727.66666666667)</f>
        <v>45727.66667</v>
      </c>
      <c r="D994" s="1">
        <f>IFERROR(__xludf.DUMMYFUNCTION("""COMPUTED_VALUE"""),380.45)</f>
        <v>380.45</v>
      </c>
      <c r="E994" s="4">
        <f>IFERROR(__xludf.DUMMYFUNCTION("""COMPUTED_VALUE"""),45727.66666666667)</f>
        <v>45727.66667</v>
      </c>
      <c r="F994" s="1">
        <f>IFERROR(__xludf.DUMMYFUNCTION("""COMPUTED_VALUE"""),109.16)</f>
        <v>109.16</v>
      </c>
      <c r="G994" s="4">
        <f>IFERROR(__xludf.DUMMYFUNCTION("""COMPUTED_VALUE"""),45727.66666666667)</f>
        <v>45727.66667</v>
      </c>
      <c r="H994" s="1">
        <f>IFERROR(__xludf.DUMMYFUNCTION("""COMPUTED_VALUE"""),154.08)</f>
        <v>154.08</v>
      </c>
      <c r="I994" s="5">
        <f t="shared" si="1"/>
        <v>-0.01747871762</v>
      </c>
      <c r="K994" s="5">
        <f t="shared" si="2"/>
        <v>0.007412274938</v>
      </c>
      <c r="L994" s="5">
        <f t="shared" si="3"/>
        <v>-0.0002748259436</v>
      </c>
      <c r="M994" s="5">
        <f t="shared" si="4"/>
        <v>-0.009151090343</v>
      </c>
      <c r="Q994" s="5"/>
    </row>
    <row r="995">
      <c r="A995" s="4">
        <f>IFERROR(__xludf.DUMMYFUNCTION("""COMPUTED_VALUE"""),45728.66666666667)</f>
        <v>45728.66667</v>
      </c>
      <c r="B995" s="1">
        <f>IFERROR(__xludf.DUMMYFUNCTION("""COMPUTED_VALUE"""),216.98)</f>
        <v>216.98</v>
      </c>
      <c r="C995" s="4">
        <f>IFERROR(__xludf.DUMMYFUNCTION("""COMPUTED_VALUE"""),45728.66666666667)</f>
        <v>45728.66667</v>
      </c>
      <c r="D995" s="1">
        <f>IFERROR(__xludf.DUMMYFUNCTION("""COMPUTED_VALUE"""),383.27)</f>
        <v>383.27</v>
      </c>
      <c r="E995" s="4">
        <f>IFERROR(__xludf.DUMMYFUNCTION("""COMPUTED_VALUE"""),45728.66666666667)</f>
        <v>45728.66667</v>
      </c>
      <c r="F995" s="1">
        <f>IFERROR(__xludf.DUMMYFUNCTION("""COMPUTED_VALUE"""),109.13)</f>
        <v>109.13</v>
      </c>
      <c r="G995" s="4">
        <f>IFERROR(__xludf.DUMMYFUNCTION("""COMPUTED_VALUE"""),45728.66666666667)</f>
        <v>45728.66667</v>
      </c>
      <c r="H995" s="1">
        <f>IFERROR(__xludf.DUMMYFUNCTION("""COMPUTED_VALUE"""),152.67)</f>
        <v>152.67</v>
      </c>
      <c r="I995" s="5">
        <f t="shared" si="1"/>
        <v>-0.03364365379</v>
      </c>
      <c r="K995" s="5">
        <f t="shared" si="2"/>
        <v>-0.01174107026</v>
      </c>
      <c r="L995" s="5">
        <f t="shared" si="3"/>
        <v>-0.004215156236</v>
      </c>
      <c r="M995" s="5">
        <f t="shared" si="4"/>
        <v>0.006157070806</v>
      </c>
      <c r="Q995" s="5"/>
    </row>
    <row r="996">
      <c r="A996" s="4">
        <f>IFERROR(__xludf.DUMMYFUNCTION("""COMPUTED_VALUE"""),45729.66666666667)</f>
        <v>45729.66667</v>
      </c>
      <c r="B996" s="1">
        <f>IFERROR(__xludf.DUMMYFUNCTION("""COMPUTED_VALUE"""),209.68)</f>
        <v>209.68</v>
      </c>
      <c r="C996" s="4">
        <f>IFERROR(__xludf.DUMMYFUNCTION("""COMPUTED_VALUE"""),45729.66666666667)</f>
        <v>45729.66667</v>
      </c>
      <c r="D996" s="1">
        <f>IFERROR(__xludf.DUMMYFUNCTION("""COMPUTED_VALUE"""),378.77)</f>
        <v>378.77</v>
      </c>
      <c r="E996" s="4">
        <f>IFERROR(__xludf.DUMMYFUNCTION("""COMPUTED_VALUE"""),45729.66666666667)</f>
        <v>45729.66667</v>
      </c>
      <c r="F996" s="1">
        <f>IFERROR(__xludf.DUMMYFUNCTION("""COMPUTED_VALUE"""),108.67)</f>
        <v>108.67</v>
      </c>
      <c r="G996" s="4">
        <f>IFERROR(__xludf.DUMMYFUNCTION("""COMPUTED_VALUE"""),45729.66666666667)</f>
        <v>45729.66667</v>
      </c>
      <c r="H996" s="1">
        <f>IFERROR(__xludf.DUMMYFUNCTION("""COMPUTED_VALUE"""),153.61)</f>
        <v>153.61</v>
      </c>
      <c r="I996" s="5">
        <f t="shared" si="1"/>
        <v>0.01817054559</v>
      </c>
      <c r="K996" s="5">
        <f t="shared" si="2"/>
        <v>0.02584681997</v>
      </c>
      <c r="L996" s="5">
        <f t="shared" si="3"/>
        <v>0.02972301463</v>
      </c>
      <c r="M996" s="5">
        <f t="shared" si="4"/>
        <v>0.02219907558</v>
      </c>
      <c r="Q996" s="5"/>
    </row>
    <row r="997">
      <c r="A997" s="4">
        <f>IFERROR(__xludf.DUMMYFUNCTION("""COMPUTED_VALUE"""),45730.66666666667)</f>
        <v>45730.66667</v>
      </c>
      <c r="B997" s="1">
        <f>IFERROR(__xludf.DUMMYFUNCTION("""COMPUTED_VALUE"""),213.49)</f>
        <v>213.49</v>
      </c>
      <c r="C997" s="4">
        <f>IFERROR(__xludf.DUMMYFUNCTION("""COMPUTED_VALUE"""),45730.66666666667)</f>
        <v>45730.66667</v>
      </c>
      <c r="D997" s="1">
        <f>IFERROR(__xludf.DUMMYFUNCTION("""COMPUTED_VALUE"""),388.56)</f>
        <v>388.56</v>
      </c>
      <c r="E997" s="4">
        <f>IFERROR(__xludf.DUMMYFUNCTION("""COMPUTED_VALUE"""),45730.66666666667)</f>
        <v>45730.66667</v>
      </c>
      <c r="F997" s="1">
        <f>IFERROR(__xludf.DUMMYFUNCTION("""COMPUTED_VALUE"""),111.9)</f>
        <v>111.9</v>
      </c>
      <c r="G997" s="4">
        <f>IFERROR(__xludf.DUMMYFUNCTION("""COMPUTED_VALUE"""),45730.66666666667)</f>
        <v>45730.66667</v>
      </c>
      <c r="H997" s="1">
        <f>IFERROR(__xludf.DUMMYFUNCTION("""COMPUTED_VALUE"""),157.02)</f>
        <v>157.02</v>
      </c>
      <c r="I997" s="5">
        <f t="shared" si="1"/>
        <v>0.002388870673</v>
      </c>
      <c r="K997" s="5">
        <f t="shared" si="2"/>
        <v>0.0003603047148</v>
      </c>
      <c r="L997" s="5">
        <f t="shared" si="3"/>
        <v>0.01662198391</v>
      </c>
      <c r="M997" s="5">
        <f t="shared" si="4"/>
        <v>0.01082664629</v>
      </c>
      <c r="Q997" s="5"/>
    </row>
    <row r="998">
      <c r="A998" s="4">
        <f>IFERROR(__xludf.DUMMYFUNCTION("""COMPUTED_VALUE"""),45733.66666666667)</f>
        <v>45733.66667</v>
      </c>
      <c r="B998" s="1">
        <f>IFERROR(__xludf.DUMMYFUNCTION("""COMPUTED_VALUE"""),214.0)</f>
        <v>214</v>
      </c>
      <c r="C998" s="4">
        <f>IFERROR(__xludf.DUMMYFUNCTION("""COMPUTED_VALUE"""),45733.66666666667)</f>
        <v>45733.66667</v>
      </c>
      <c r="D998" s="1">
        <f>IFERROR(__xludf.DUMMYFUNCTION("""COMPUTED_VALUE"""),388.7)</f>
        <v>388.7</v>
      </c>
      <c r="E998" s="4">
        <f>IFERROR(__xludf.DUMMYFUNCTION("""COMPUTED_VALUE"""),45733.66666666667)</f>
        <v>45733.66667</v>
      </c>
      <c r="F998" s="1">
        <f>IFERROR(__xludf.DUMMYFUNCTION("""COMPUTED_VALUE"""),113.76)</f>
        <v>113.76</v>
      </c>
      <c r="G998" s="4">
        <f>IFERROR(__xludf.DUMMYFUNCTION("""COMPUTED_VALUE"""),45733.66666666667)</f>
        <v>45733.66667</v>
      </c>
      <c r="H998" s="1">
        <f>IFERROR(__xludf.DUMMYFUNCTION("""COMPUTED_VALUE"""),158.72)</f>
        <v>158.72</v>
      </c>
      <c r="I998" s="5">
        <f t="shared" si="1"/>
        <v>-0.006121495327</v>
      </c>
      <c r="K998" s="5">
        <f t="shared" si="2"/>
        <v>-0.01332647286</v>
      </c>
      <c r="L998" s="5">
        <f t="shared" si="3"/>
        <v>-0.001054852321</v>
      </c>
      <c r="M998" s="5">
        <f t="shared" si="4"/>
        <v>0.01316784274</v>
      </c>
      <c r="Q998" s="5"/>
    </row>
    <row r="999">
      <c r="A999" s="4">
        <f>IFERROR(__xludf.DUMMYFUNCTION("""COMPUTED_VALUE"""),45734.66666666667)</f>
        <v>45734.66667</v>
      </c>
      <c r="B999" s="1">
        <f>IFERROR(__xludf.DUMMYFUNCTION("""COMPUTED_VALUE"""),212.69)</f>
        <v>212.69</v>
      </c>
      <c r="C999" s="4">
        <f>IFERROR(__xludf.DUMMYFUNCTION("""COMPUTED_VALUE"""),45734.66666666667)</f>
        <v>45734.66667</v>
      </c>
      <c r="D999" s="1">
        <f>IFERROR(__xludf.DUMMYFUNCTION("""COMPUTED_VALUE"""),383.52)</f>
        <v>383.52</v>
      </c>
      <c r="E999" s="4">
        <f>IFERROR(__xludf.DUMMYFUNCTION("""COMPUTED_VALUE"""),45734.66666666667)</f>
        <v>45734.66667</v>
      </c>
      <c r="F999" s="1">
        <f>IFERROR(__xludf.DUMMYFUNCTION("""COMPUTED_VALUE"""),113.64)</f>
        <v>113.64</v>
      </c>
      <c r="G999" s="4">
        <f>IFERROR(__xludf.DUMMYFUNCTION("""COMPUTED_VALUE"""),45734.66666666667)</f>
        <v>45734.66667</v>
      </c>
      <c r="H999" s="1">
        <f>IFERROR(__xludf.DUMMYFUNCTION("""COMPUTED_VALUE"""),160.81)</f>
        <v>160.81</v>
      </c>
      <c r="I999" s="5">
        <f t="shared" si="1"/>
        <v>0.01198928017</v>
      </c>
      <c r="K999" s="5">
        <f t="shared" si="2"/>
        <v>0.01121193158</v>
      </c>
      <c r="L999" s="5">
        <f t="shared" si="3"/>
        <v>0.01557550158</v>
      </c>
      <c r="M999" s="5">
        <f t="shared" si="4"/>
        <v>0.02014800075</v>
      </c>
      <c r="Q999" s="5"/>
    </row>
    <row r="1000">
      <c r="A1000" s="4">
        <f>IFERROR(__xludf.DUMMYFUNCTION("""COMPUTED_VALUE"""),45735.66666666667)</f>
        <v>45735.66667</v>
      </c>
      <c r="B1000" s="1">
        <f>IFERROR(__xludf.DUMMYFUNCTION("""COMPUTED_VALUE"""),215.24)</f>
        <v>215.24</v>
      </c>
      <c r="C1000" s="4">
        <f>IFERROR(__xludf.DUMMYFUNCTION("""COMPUTED_VALUE"""),45735.66666666667)</f>
        <v>45735.66667</v>
      </c>
      <c r="D1000" s="1">
        <f>IFERROR(__xludf.DUMMYFUNCTION("""COMPUTED_VALUE"""),387.82)</f>
        <v>387.82</v>
      </c>
      <c r="E1000" s="4">
        <f>IFERROR(__xludf.DUMMYFUNCTION("""COMPUTED_VALUE"""),45735.66666666667)</f>
        <v>45735.66667</v>
      </c>
      <c r="F1000" s="1">
        <f>IFERROR(__xludf.DUMMYFUNCTION("""COMPUTED_VALUE"""),115.41)</f>
        <v>115.41</v>
      </c>
      <c r="G1000" s="4">
        <f>IFERROR(__xludf.DUMMYFUNCTION("""COMPUTED_VALUE"""),45735.66666666667)</f>
        <v>45735.66667</v>
      </c>
      <c r="H1000" s="1">
        <f>IFERROR(__xludf.DUMMYFUNCTION("""COMPUTED_VALUE"""),164.05)</f>
        <v>164.05</v>
      </c>
      <c r="I1000" s="5">
        <f t="shared" si="1"/>
        <v>-0.005296413306</v>
      </c>
      <c r="K1000" s="5">
        <f t="shared" si="2"/>
        <v>-0.00252694549</v>
      </c>
      <c r="L1000" s="5">
        <f t="shared" si="3"/>
        <v>0.004245732605</v>
      </c>
      <c r="M1000" s="5">
        <f t="shared" si="4"/>
        <v>0.004388905821</v>
      </c>
      <c r="Q1000" s="5"/>
    </row>
    <row r="1001">
      <c r="A1001" s="4">
        <f>IFERROR(__xludf.DUMMYFUNCTION("""COMPUTED_VALUE"""),45736.66666666667)</f>
        <v>45736.66667</v>
      </c>
      <c r="B1001" s="1">
        <f>IFERROR(__xludf.DUMMYFUNCTION("""COMPUTED_VALUE"""),214.1)</f>
        <v>214.1</v>
      </c>
      <c r="C1001" s="4">
        <f>IFERROR(__xludf.DUMMYFUNCTION("""COMPUTED_VALUE"""),45736.66666666667)</f>
        <v>45736.66667</v>
      </c>
      <c r="D1001" s="1">
        <f>IFERROR(__xludf.DUMMYFUNCTION("""COMPUTED_VALUE"""),386.84)</f>
        <v>386.84</v>
      </c>
      <c r="E1001" s="4">
        <f>IFERROR(__xludf.DUMMYFUNCTION("""COMPUTED_VALUE"""),45736.66666666667)</f>
        <v>45736.66667</v>
      </c>
      <c r="F1001" s="1">
        <f>IFERROR(__xludf.DUMMYFUNCTION("""COMPUTED_VALUE"""),115.9)</f>
        <v>115.9</v>
      </c>
      <c r="G1001" s="4">
        <f>IFERROR(__xludf.DUMMYFUNCTION("""COMPUTED_VALUE"""),45736.66666666667)</f>
        <v>45736.66667</v>
      </c>
      <c r="H1001" s="1">
        <f>IFERROR(__xludf.DUMMYFUNCTION("""COMPUTED_VALUE"""),164.77)</f>
        <v>164.77</v>
      </c>
      <c r="I1001" s="5">
        <f t="shared" si="1"/>
        <v>0.01947687996</v>
      </c>
      <c r="K1001" s="5">
        <f t="shared" si="2"/>
        <v>0.01142591252</v>
      </c>
      <c r="L1001" s="5">
        <f t="shared" si="3"/>
        <v>-0.003451251079</v>
      </c>
      <c r="M1001" s="5">
        <f t="shared" si="4"/>
        <v>-0.0001213813194</v>
      </c>
      <c r="Q1001" s="5"/>
    </row>
    <row r="1002">
      <c r="A1002" s="4">
        <f>IFERROR(__xludf.DUMMYFUNCTION("""COMPUTED_VALUE"""),45737.66666666667)</f>
        <v>45737.66667</v>
      </c>
      <c r="B1002" s="1">
        <f>IFERROR(__xludf.DUMMYFUNCTION("""COMPUTED_VALUE"""),218.27)</f>
        <v>218.27</v>
      </c>
      <c r="C1002" s="4">
        <f>IFERROR(__xludf.DUMMYFUNCTION("""COMPUTED_VALUE"""),45737.66666666667)</f>
        <v>45737.66667</v>
      </c>
      <c r="D1002" s="1">
        <f>IFERROR(__xludf.DUMMYFUNCTION("""COMPUTED_VALUE"""),391.26)</f>
        <v>391.26</v>
      </c>
      <c r="E1002" s="4">
        <f>IFERROR(__xludf.DUMMYFUNCTION("""COMPUTED_VALUE"""),45737.66666666667)</f>
        <v>45737.66667</v>
      </c>
      <c r="F1002" s="1">
        <f>IFERROR(__xludf.DUMMYFUNCTION("""COMPUTED_VALUE"""),115.5)</f>
        <v>115.5</v>
      </c>
      <c r="G1002" s="4">
        <f>IFERROR(__xludf.DUMMYFUNCTION("""COMPUTED_VALUE"""),45737.66666666667)</f>
        <v>45737.66667</v>
      </c>
      <c r="H1002" s="1">
        <f>IFERROR(__xludf.DUMMYFUNCTION("""COMPUTED_VALUE"""),164.75)</f>
        <v>164.75</v>
      </c>
      <c r="I1002" s="5">
        <f t="shared" si="1"/>
        <v>0.01127044486</v>
      </c>
      <c r="K1002" s="5">
        <f t="shared" si="2"/>
        <v>0.004651638297</v>
      </c>
      <c r="L1002" s="5">
        <f t="shared" si="3"/>
        <v>0.002597402597</v>
      </c>
      <c r="M1002" s="5">
        <f t="shared" si="4"/>
        <v>0.001638846737</v>
      </c>
      <c r="Q1002" s="5"/>
    </row>
    <row r="1003">
      <c r="A1003" s="4">
        <f>IFERROR(__xludf.DUMMYFUNCTION("""COMPUTED_VALUE"""),45740.66666666667)</f>
        <v>45740.66667</v>
      </c>
      <c r="B1003" s="1">
        <f>IFERROR(__xludf.DUMMYFUNCTION("""COMPUTED_VALUE"""),220.73)</f>
        <v>220.73</v>
      </c>
      <c r="C1003" s="4">
        <f>IFERROR(__xludf.DUMMYFUNCTION("""COMPUTED_VALUE"""),45740.66666666667)</f>
        <v>45740.66667</v>
      </c>
      <c r="D1003" s="1">
        <f>IFERROR(__xludf.DUMMYFUNCTION("""COMPUTED_VALUE"""),393.08)</f>
        <v>393.08</v>
      </c>
      <c r="E1003" s="4">
        <f>IFERROR(__xludf.DUMMYFUNCTION("""COMPUTED_VALUE"""),45740.66666666667)</f>
        <v>45740.66667</v>
      </c>
      <c r="F1003" s="1">
        <f>IFERROR(__xludf.DUMMYFUNCTION("""COMPUTED_VALUE"""),115.8)</f>
        <v>115.8</v>
      </c>
      <c r="G1003" s="4">
        <f>IFERROR(__xludf.DUMMYFUNCTION("""COMPUTED_VALUE"""),45740.66666666667)</f>
        <v>45740.66667</v>
      </c>
      <c r="H1003" s="1">
        <f>IFERROR(__xludf.DUMMYFUNCTION("""COMPUTED_VALUE"""),165.02)</f>
        <v>165.02</v>
      </c>
      <c r="I1003" s="5">
        <f t="shared" si="1"/>
        <v>0.01368187378</v>
      </c>
      <c r="K1003" s="5">
        <f t="shared" si="2"/>
        <v>0.005291543706</v>
      </c>
      <c r="L1003" s="5">
        <f t="shared" si="3"/>
        <v>0.006822107081</v>
      </c>
      <c r="M1003" s="5">
        <f t="shared" si="4"/>
        <v>0.005575081808</v>
      </c>
      <c r="Q1003" s="5"/>
    </row>
    <row r="1004">
      <c r="A1004" s="4">
        <f>IFERROR(__xludf.DUMMYFUNCTION("""COMPUTED_VALUE"""),45741.66666666667)</f>
        <v>45741.66667</v>
      </c>
      <c r="B1004" s="1">
        <f>IFERROR(__xludf.DUMMYFUNCTION("""COMPUTED_VALUE"""),223.75)</f>
        <v>223.75</v>
      </c>
      <c r="C1004" s="4">
        <f>IFERROR(__xludf.DUMMYFUNCTION("""COMPUTED_VALUE"""),45741.66666666667)</f>
        <v>45741.66667</v>
      </c>
      <c r="D1004" s="1">
        <f>IFERROR(__xludf.DUMMYFUNCTION("""COMPUTED_VALUE"""),395.16)</f>
        <v>395.16</v>
      </c>
      <c r="E1004" s="4">
        <f>IFERROR(__xludf.DUMMYFUNCTION("""COMPUTED_VALUE"""),45741.66666666667)</f>
        <v>45741.66667</v>
      </c>
      <c r="F1004" s="1">
        <f>IFERROR(__xludf.DUMMYFUNCTION("""COMPUTED_VALUE"""),116.59)</f>
        <v>116.59</v>
      </c>
      <c r="G1004" s="4">
        <f>IFERROR(__xludf.DUMMYFUNCTION("""COMPUTED_VALUE"""),45741.66666666667)</f>
        <v>45741.66667</v>
      </c>
      <c r="H1004" s="1">
        <f>IFERROR(__xludf.DUMMYFUNCTION("""COMPUTED_VALUE"""),165.94)</f>
        <v>165.94</v>
      </c>
      <c r="I1004" s="5">
        <f t="shared" si="1"/>
        <v>-0.009921787709</v>
      </c>
      <c r="K1004" s="5">
        <f t="shared" si="2"/>
        <v>-0.01313392044</v>
      </c>
      <c r="L1004" s="5">
        <f t="shared" si="3"/>
        <v>0.01440946908</v>
      </c>
      <c r="M1004" s="5">
        <f t="shared" si="4"/>
        <v>0.01223333735</v>
      </c>
      <c r="Q1004" s="5"/>
    </row>
    <row r="1005">
      <c r="A1005" s="4">
        <f>IFERROR(__xludf.DUMMYFUNCTION("""COMPUTED_VALUE"""),45742.66666666667)</f>
        <v>45742.66667</v>
      </c>
      <c r="B1005" s="1">
        <f>IFERROR(__xludf.DUMMYFUNCTION("""COMPUTED_VALUE"""),221.53)</f>
        <v>221.53</v>
      </c>
      <c r="C1005" s="4">
        <f>IFERROR(__xludf.DUMMYFUNCTION("""COMPUTED_VALUE"""),45742.66666666667)</f>
        <v>45742.66667</v>
      </c>
      <c r="D1005" s="1">
        <f>IFERROR(__xludf.DUMMYFUNCTION("""COMPUTED_VALUE"""),389.97)</f>
        <v>389.97</v>
      </c>
      <c r="E1005" s="4">
        <f>IFERROR(__xludf.DUMMYFUNCTION("""COMPUTED_VALUE"""),45742.66666666667)</f>
        <v>45742.66667</v>
      </c>
      <c r="F1005" s="1">
        <f>IFERROR(__xludf.DUMMYFUNCTION("""COMPUTED_VALUE"""),118.27)</f>
        <v>118.27</v>
      </c>
      <c r="G1005" s="4">
        <f>IFERROR(__xludf.DUMMYFUNCTION("""COMPUTED_VALUE"""),45742.66666666667)</f>
        <v>45742.66667</v>
      </c>
      <c r="H1005" s="1">
        <f>IFERROR(__xludf.DUMMYFUNCTION("""COMPUTED_VALUE"""),167.97)</f>
        <v>167.97</v>
      </c>
      <c r="I1005" s="5">
        <f t="shared" si="1"/>
        <v>0.01047262222</v>
      </c>
      <c r="K1005" s="5">
        <f t="shared" si="2"/>
        <v>0.001564222889</v>
      </c>
      <c r="L1005" s="5">
        <f t="shared" si="3"/>
        <v>-0.003212987233</v>
      </c>
      <c r="M1005" s="5">
        <f t="shared" si="4"/>
        <v>-0.007858546169</v>
      </c>
      <c r="Q1005" s="5"/>
    </row>
    <row r="1006">
      <c r="A1006" s="4">
        <f>IFERROR(__xludf.DUMMYFUNCTION("""COMPUTED_VALUE"""),45743.66666666667)</f>
        <v>45743.66667</v>
      </c>
      <c r="B1006" s="1">
        <f>IFERROR(__xludf.DUMMYFUNCTION("""COMPUTED_VALUE"""),223.85)</f>
        <v>223.85</v>
      </c>
      <c r="C1006" s="4">
        <f>IFERROR(__xludf.DUMMYFUNCTION("""COMPUTED_VALUE"""),45743.66666666667)</f>
        <v>45743.66667</v>
      </c>
      <c r="D1006" s="1">
        <f>IFERROR(__xludf.DUMMYFUNCTION("""COMPUTED_VALUE"""),390.58)</f>
        <v>390.58</v>
      </c>
      <c r="E1006" s="4">
        <f>IFERROR(__xludf.DUMMYFUNCTION("""COMPUTED_VALUE"""),45743.66666666667)</f>
        <v>45743.66667</v>
      </c>
      <c r="F1006" s="1">
        <f>IFERROR(__xludf.DUMMYFUNCTION("""COMPUTED_VALUE"""),117.89)</f>
        <v>117.89</v>
      </c>
      <c r="G1006" s="4">
        <f>IFERROR(__xludf.DUMMYFUNCTION("""COMPUTED_VALUE"""),45743.66666666667)</f>
        <v>45743.66667</v>
      </c>
      <c r="H1006" s="1">
        <f>IFERROR(__xludf.DUMMYFUNCTION("""COMPUTED_VALUE"""),166.65)</f>
        <v>166.65</v>
      </c>
      <c r="I1006" s="5">
        <f t="shared" si="1"/>
        <v>-0.02658029931</v>
      </c>
      <c r="K1006" s="5">
        <f t="shared" si="2"/>
        <v>-0.03016027446</v>
      </c>
      <c r="L1006" s="5">
        <f t="shared" si="3"/>
        <v>-0.001357197387</v>
      </c>
      <c r="M1006" s="5">
        <f t="shared" si="4"/>
        <v>-0.003360336034</v>
      </c>
      <c r="Q1006" s="5"/>
    </row>
    <row r="1007">
      <c r="A1007" s="4">
        <f>IFERROR(__xludf.DUMMYFUNCTION("""COMPUTED_VALUE"""),45744.66666666667)</f>
        <v>45744.66667</v>
      </c>
      <c r="B1007" s="1">
        <f>IFERROR(__xludf.DUMMYFUNCTION("""COMPUTED_VALUE"""),217.9)</f>
        <v>217.9</v>
      </c>
      <c r="C1007" s="4">
        <f>IFERROR(__xludf.DUMMYFUNCTION("""COMPUTED_VALUE"""),45744.66666666667)</f>
        <v>45744.66667</v>
      </c>
      <c r="D1007" s="1">
        <f>IFERROR(__xludf.DUMMYFUNCTION("""COMPUTED_VALUE"""),378.8)</f>
        <v>378.8</v>
      </c>
      <c r="E1007" s="4">
        <f>IFERROR(__xludf.DUMMYFUNCTION("""COMPUTED_VALUE"""),45744.66666666667)</f>
        <v>45744.66667</v>
      </c>
      <c r="F1007" s="1">
        <f>IFERROR(__xludf.DUMMYFUNCTION("""COMPUTED_VALUE"""),117.73)</f>
        <v>117.73</v>
      </c>
      <c r="G1007" s="4">
        <f>IFERROR(__xludf.DUMMYFUNCTION("""COMPUTED_VALUE"""),45744.66666666667)</f>
        <v>45744.66667</v>
      </c>
      <c r="H1007" s="1">
        <f>IFERROR(__xludf.DUMMYFUNCTION("""COMPUTED_VALUE"""),166.09)</f>
        <v>166.09</v>
      </c>
      <c r="I1007" s="5">
        <f t="shared" si="1"/>
        <v>0.01941257458</v>
      </c>
      <c r="K1007" s="5">
        <f t="shared" si="2"/>
        <v>-0.009002111932</v>
      </c>
      <c r="L1007" s="5">
        <f t="shared" si="3"/>
        <v>0.01019281407</v>
      </c>
      <c r="M1007" s="5">
        <f t="shared" si="4"/>
        <v>0.007224998495</v>
      </c>
      <c r="Q1007" s="5"/>
    </row>
    <row r="1008">
      <c r="A1008" s="4">
        <f>IFERROR(__xludf.DUMMYFUNCTION("""COMPUTED_VALUE"""),45747.66666666667)</f>
        <v>45747.66667</v>
      </c>
      <c r="B1008" s="1">
        <f>IFERROR(__xludf.DUMMYFUNCTION("""COMPUTED_VALUE"""),222.13)</f>
        <v>222.13</v>
      </c>
      <c r="C1008" s="4">
        <f>IFERROR(__xludf.DUMMYFUNCTION("""COMPUTED_VALUE"""),45747.66666666667)</f>
        <v>45747.66667</v>
      </c>
      <c r="D1008" s="1">
        <f>IFERROR(__xludf.DUMMYFUNCTION("""COMPUTED_VALUE"""),375.39)</f>
        <v>375.39</v>
      </c>
      <c r="E1008" s="4">
        <f>IFERROR(__xludf.DUMMYFUNCTION("""COMPUTED_VALUE"""),45747.66666666667)</f>
        <v>45747.66667</v>
      </c>
      <c r="F1008" s="1">
        <f>IFERROR(__xludf.DUMMYFUNCTION("""COMPUTED_VALUE"""),118.93)</f>
        <v>118.93</v>
      </c>
      <c r="G1008" s="4">
        <f>IFERROR(__xludf.DUMMYFUNCTION("""COMPUTED_VALUE"""),45747.66666666667)</f>
        <v>45747.66667</v>
      </c>
      <c r="H1008" s="1">
        <f>IFERROR(__xludf.DUMMYFUNCTION("""COMPUTED_VALUE"""),167.29)</f>
        <v>167.29</v>
      </c>
      <c r="I1008" s="5">
        <f t="shared" si="1"/>
        <v>0.004771980372</v>
      </c>
      <c r="K1008" s="5">
        <f t="shared" si="2"/>
        <v>0.01811449426</v>
      </c>
      <c r="L1008" s="5">
        <f t="shared" si="3"/>
        <v>0.0009249138148</v>
      </c>
      <c r="M1008" s="5">
        <f t="shared" si="4"/>
        <v>0.007292725208</v>
      </c>
      <c r="Q1008" s="5"/>
    </row>
    <row r="1009">
      <c r="A1009" s="4">
        <f>IFERROR(__xludf.DUMMYFUNCTION("""COMPUTED_VALUE"""),45748.66666666667)</f>
        <v>45748.66667</v>
      </c>
      <c r="B1009" s="1">
        <f>IFERROR(__xludf.DUMMYFUNCTION("""COMPUTED_VALUE"""),223.19)</f>
        <v>223.19</v>
      </c>
      <c r="C1009" s="4">
        <f>IFERROR(__xludf.DUMMYFUNCTION("""COMPUTED_VALUE"""),45748.66666666667)</f>
        <v>45748.66667</v>
      </c>
      <c r="D1009" s="1">
        <f>IFERROR(__xludf.DUMMYFUNCTION("""COMPUTED_VALUE"""),382.19)</f>
        <v>382.19</v>
      </c>
      <c r="E1009" s="4">
        <f>IFERROR(__xludf.DUMMYFUNCTION("""COMPUTED_VALUE"""),45748.66666666667)</f>
        <v>45748.66667</v>
      </c>
      <c r="F1009" s="1">
        <f>IFERROR(__xludf.DUMMYFUNCTION("""COMPUTED_VALUE"""),119.04)</f>
        <v>119.04</v>
      </c>
      <c r="G1009" s="4">
        <f>IFERROR(__xludf.DUMMYFUNCTION("""COMPUTED_VALUE"""),45748.66666666667)</f>
        <v>45748.66667</v>
      </c>
      <c r="H1009" s="1">
        <f>IFERROR(__xludf.DUMMYFUNCTION("""COMPUTED_VALUE"""),168.51)</f>
        <v>168.51</v>
      </c>
      <c r="I1009" s="5">
        <f t="shared" si="1"/>
        <v>0.003136341234</v>
      </c>
      <c r="K1009" s="5">
        <f t="shared" si="2"/>
        <v>-0.0001308249823</v>
      </c>
      <c r="L1009" s="5">
        <f t="shared" si="3"/>
        <v>-0.003108198925</v>
      </c>
      <c r="M1009" s="5">
        <f t="shared" si="4"/>
        <v>-0.01210610646</v>
      </c>
      <c r="Q1009" s="5"/>
    </row>
    <row r="1010">
      <c r="A1010" s="4">
        <f>IFERROR(__xludf.DUMMYFUNCTION("""COMPUTED_VALUE"""),45749.66666666667)</f>
        <v>45749.66667</v>
      </c>
      <c r="B1010" s="1">
        <f>IFERROR(__xludf.DUMMYFUNCTION("""COMPUTED_VALUE"""),223.89)</f>
        <v>223.89</v>
      </c>
      <c r="C1010" s="4">
        <f>IFERROR(__xludf.DUMMYFUNCTION("""COMPUTED_VALUE"""),45749.66666666667)</f>
        <v>45749.66667</v>
      </c>
      <c r="D1010" s="1">
        <f>IFERROR(__xludf.DUMMYFUNCTION("""COMPUTED_VALUE"""),382.14)</f>
        <v>382.14</v>
      </c>
      <c r="E1010" s="4">
        <f>IFERROR(__xludf.DUMMYFUNCTION("""COMPUTED_VALUE"""),45749.66666666667)</f>
        <v>45749.66667</v>
      </c>
      <c r="F1010" s="1">
        <f>IFERROR(__xludf.DUMMYFUNCTION("""COMPUTED_VALUE"""),118.67)</f>
        <v>118.67</v>
      </c>
      <c r="G1010" s="4">
        <f>IFERROR(__xludf.DUMMYFUNCTION("""COMPUTED_VALUE"""),45749.66666666667)</f>
        <v>45749.66667</v>
      </c>
      <c r="H1010" s="1">
        <f>IFERROR(__xludf.DUMMYFUNCTION("""COMPUTED_VALUE"""),166.47)</f>
        <v>166.47</v>
      </c>
      <c r="I1010" s="5">
        <f t="shared" si="1"/>
        <v>-0.09245611684</v>
      </c>
      <c r="K1010" s="5">
        <f t="shared" si="2"/>
        <v>-0.02363008322</v>
      </c>
      <c r="L1010" s="5">
        <f t="shared" si="3"/>
        <v>-0.05258279262</v>
      </c>
      <c r="M1010" s="5">
        <f t="shared" si="4"/>
        <v>-0.06217336457</v>
      </c>
      <c r="Q1010" s="5"/>
    </row>
    <row r="1011">
      <c r="A1011" s="4">
        <f>IFERROR(__xludf.DUMMYFUNCTION("""COMPUTED_VALUE"""),45750.66666666667)</f>
        <v>45750.66667</v>
      </c>
      <c r="B1011" s="1">
        <f>IFERROR(__xludf.DUMMYFUNCTION("""COMPUTED_VALUE"""),203.19)</f>
        <v>203.19</v>
      </c>
      <c r="C1011" s="4">
        <f>IFERROR(__xludf.DUMMYFUNCTION("""COMPUTED_VALUE"""),45750.66666666667)</f>
        <v>45750.66667</v>
      </c>
      <c r="D1011" s="1">
        <f>IFERROR(__xludf.DUMMYFUNCTION("""COMPUTED_VALUE"""),373.11)</f>
        <v>373.11</v>
      </c>
      <c r="E1011" s="4">
        <f>IFERROR(__xludf.DUMMYFUNCTION("""COMPUTED_VALUE"""),45750.66666666667)</f>
        <v>45750.66667</v>
      </c>
      <c r="F1011" s="1">
        <f>IFERROR(__xludf.DUMMYFUNCTION("""COMPUTED_VALUE"""),112.43)</f>
        <v>112.43</v>
      </c>
      <c r="G1011" s="4">
        <f>IFERROR(__xludf.DUMMYFUNCTION("""COMPUTED_VALUE"""),45750.66666666667)</f>
        <v>45750.66667</v>
      </c>
      <c r="H1011" s="1">
        <f>IFERROR(__xludf.DUMMYFUNCTION("""COMPUTED_VALUE"""),156.12)</f>
        <v>156.12</v>
      </c>
      <c r="I1011" s="5">
        <f t="shared" si="1"/>
        <v>-0.07288744525</v>
      </c>
      <c r="K1011" s="5">
        <f t="shared" si="2"/>
        <v>-0.0355659189</v>
      </c>
      <c r="L1011" s="5">
        <f t="shared" si="3"/>
        <v>-0.07195588366</v>
      </c>
      <c r="M1011" s="5">
        <f t="shared" si="4"/>
        <v>-0.08224442736</v>
      </c>
      <c r="Q1011" s="5"/>
    </row>
    <row r="1012">
      <c r="A1012" s="4">
        <f>IFERROR(__xludf.DUMMYFUNCTION("""COMPUTED_VALUE"""),45751.66666666667)</f>
        <v>45751.66667</v>
      </c>
      <c r="B1012" s="1">
        <f>IFERROR(__xludf.DUMMYFUNCTION("""COMPUTED_VALUE"""),188.38)</f>
        <v>188.38</v>
      </c>
      <c r="C1012" s="4">
        <f>IFERROR(__xludf.DUMMYFUNCTION("""COMPUTED_VALUE"""),45751.66666666667)</f>
        <v>45751.66667</v>
      </c>
      <c r="D1012" s="1">
        <f>IFERROR(__xludf.DUMMYFUNCTION("""COMPUTED_VALUE"""),359.84)</f>
        <v>359.84</v>
      </c>
      <c r="E1012" s="4">
        <f>IFERROR(__xludf.DUMMYFUNCTION("""COMPUTED_VALUE"""),45751.66666666667)</f>
        <v>45751.66667</v>
      </c>
      <c r="F1012" s="1">
        <f>IFERROR(__xludf.DUMMYFUNCTION("""COMPUTED_VALUE"""),104.34)</f>
        <v>104.34</v>
      </c>
      <c r="G1012" s="4">
        <f>IFERROR(__xludf.DUMMYFUNCTION("""COMPUTED_VALUE"""),45751.66666666667)</f>
        <v>45751.66667</v>
      </c>
      <c r="H1012" s="1">
        <f>IFERROR(__xludf.DUMMYFUNCTION("""COMPUTED_VALUE"""),143.28)</f>
        <v>143.28</v>
      </c>
      <c r="I1012" s="5">
        <f t="shared" si="1"/>
        <v>-0.03673426054</v>
      </c>
      <c r="K1012" s="5">
        <f t="shared" si="2"/>
        <v>-0.005502445531</v>
      </c>
      <c r="L1012" s="5">
        <f t="shared" si="3"/>
        <v>-0.01341767299</v>
      </c>
      <c r="M1012" s="5">
        <f t="shared" si="4"/>
        <v>-0.0218453378</v>
      </c>
      <c r="Q1012" s="5"/>
    </row>
    <row r="1013">
      <c r="A1013" s="4">
        <f>IFERROR(__xludf.DUMMYFUNCTION("""COMPUTED_VALUE"""),45754.66666666667)</f>
        <v>45754.66667</v>
      </c>
      <c r="B1013" s="1">
        <f>IFERROR(__xludf.DUMMYFUNCTION("""COMPUTED_VALUE"""),181.46)</f>
        <v>181.46</v>
      </c>
      <c r="C1013" s="4">
        <f>IFERROR(__xludf.DUMMYFUNCTION("""COMPUTED_VALUE"""),45754.66666666667)</f>
        <v>45754.66667</v>
      </c>
      <c r="D1013" s="1">
        <f>IFERROR(__xludf.DUMMYFUNCTION("""COMPUTED_VALUE"""),357.86)</f>
        <v>357.86</v>
      </c>
      <c r="E1013" s="4">
        <f>IFERROR(__xludf.DUMMYFUNCTION("""COMPUTED_VALUE"""),45754.66666666667)</f>
        <v>45754.66667</v>
      </c>
      <c r="F1013" s="1">
        <f>IFERROR(__xludf.DUMMYFUNCTION("""COMPUTED_VALUE"""),102.94)</f>
        <v>102.94</v>
      </c>
      <c r="G1013" s="4">
        <f>IFERROR(__xludf.DUMMYFUNCTION("""COMPUTED_VALUE"""),45754.66666666667)</f>
        <v>45754.66667</v>
      </c>
      <c r="H1013" s="1">
        <f>IFERROR(__xludf.DUMMYFUNCTION("""COMPUTED_VALUE"""),140.15)</f>
        <v>140.15</v>
      </c>
      <c r="I1013" s="5">
        <f t="shared" si="1"/>
        <v>-0.04981814174</v>
      </c>
      <c r="K1013" s="5">
        <f t="shared" si="2"/>
        <v>-0.009221483262</v>
      </c>
      <c r="L1013" s="5">
        <f t="shared" si="3"/>
        <v>-0.02108024092</v>
      </c>
      <c r="M1013" s="5">
        <f t="shared" si="4"/>
        <v>-0.02297538352</v>
      </c>
      <c r="Q1013" s="5"/>
    </row>
    <row r="1014">
      <c r="A1014" s="4">
        <f>IFERROR(__xludf.DUMMYFUNCTION("""COMPUTED_VALUE"""),45755.66666666667)</f>
        <v>45755.66667</v>
      </c>
      <c r="B1014" s="1">
        <f>IFERROR(__xludf.DUMMYFUNCTION("""COMPUTED_VALUE"""),172.42)</f>
        <v>172.42</v>
      </c>
      <c r="C1014" s="4">
        <f>IFERROR(__xludf.DUMMYFUNCTION("""COMPUTED_VALUE"""),45755.66666666667)</f>
        <v>45755.66667</v>
      </c>
      <c r="D1014" s="1">
        <f>IFERROR(__xludf.DUMMYFUNCTION("""COMPUTED_VALUE"""),354.56)</f>
        <v>354.56</v>
      </c>
      <c r="E1014" s="4">
        <f>IFERROR(__xludf.DUMMYFUNCTION("""COMPUTED_VALUE"""),45755.66666666667)</f>
        <v>45755.66667</v>
      </c>
      <c r="F1014" s="1">
        <f>IFERROR(__xludf.DUMMYFUNCTION("""COMPUTED_VALUE"""),100.77)</f>
        <v>100.77</v>
      </c>
      <c r="G1014" s="4">
        <f>IFERROR(__xludf.DUMMYFUNCTION("""COMPUTED_VALUE"""),45755.66666666667)</f>
        <v>45755.66667</v>
      </c>
      <c r="H1014" s="1">
        <f>IFERROR(__xludf.DUMMYFUNCTION("""COMPUTED_VALUE"""),136.93)</f>
        <v>136.93</v>
      </c>
      <c r="I1014" s="5">
        <f t="shared" si="1"/>
        <v>0.1532884816</v>
      </c>
      <c r="K1014" s="5">
        <f t="shared" si="2"/>
        <v>0.1013368682</v>
      </c>
      <c r="L1014" s="5">
        <f t="shared" si="3"/>
        <v>0.0499156495</v>
      </c>
      <c r="M1014" s="5">
        <f t="shared" si="4"/>
        <v>0.06645731396</v>
      </c>
      <c r="Q1014" s="5"/>
    </row>
    <row r="1015">
      <c r="A1015" s="4">
        <f>IFERROR(__xludf.DUMMYFUNCTION("""COMPUTED_VALUE"""),45756.66666666667)</f>
        <v>45756.66667</v>
      </c>
      <c r="B1015" s="1">
        <f>IFERROR(__xludf.DUMMYFUNCTION("""COMPUTED_VALUE"""),198.85)</f>
        <v>198.85</v>
      </c>
      <c r="C1015" s="4">
        <f>IFERROR(__xludf.DUMMYFUNCTION("""COMPUTED_VALUE"""),45756.66666666667)</f>
        <v>45756.66667</v>
      </c>
      <c r="D1015" s="1">
        <f>IFERROR(__xludf.DUMMYFUNCTION("""COMPUTED_VALUE"""),390.49)</f>
        <v>390.49</v>
      </c>
      <c r="E1015" s="4">
        <f>IFERROR(__xludf.DUMMYFUNCTION("""COMPUTED_VALUE"""),45756.66666666667)</f>
        <v>45756.66667</v>
      </c>
      <c r="F1015" s="1">
        <f>IFERROR(__xludf.DUMMYFUNCTION("""COMPUTED_VALUE"""),105.8)</f>
        <v>105.8</v>
      </c>
      <c r="G1015" s="4">
        <f>IFERROR(__xludf.DUMMYFUNCTION("""COMPUTED_VALUE"""),45756.66666666667)</f>
        <v>45756.66667</v>
      </c>
      <c r="H1015" s="1">
        <f>IFERROR(__xludf.DUMMYFUNCTION("""COMPUTED_VALUE"""),146.03)</f>
        <v>146.03</v>
      </c>
      <c r="I1015" s="5">
        <f t="shared" si="1"/>
        <v>-0.04239376414</v>
      </c>
      <c r="K1015" s="5">
        <f t="shared" si="2"/>
        <v>-0.02340648928</v>
      </c>
      <c r="L1015" s="5">
        <f t="shared" si="3"/>
        <v>-0.05548204159</v>
      </c>
      <c r="M1015" s="5">
        <f t="shared" si="4"/>
        <v>-0.075669383</v>
      </c>
      <c r="Q1015" s="5"/>
    </row>
    <row r="1016">
      <c r="A1016" s="4">
        <f>IFERROR(__xludf.DUMMYFUNCTION("""COMPUTED_VALUE"""),45757.66666666667)</f>
        <v>45757.66667</v>
      </c>
      <c r="B1016" s="1">
        <f>IFERROR(__xludf.DUMMYFUNCTION("""COMPUTED_VALUE"""),190.42)</f>
        <v>190.42</v>
      </c>
      <c r="C1016" s="4">
        <f>IFERROR(__xludf.DUMMYFUNCTION("""COMPUTED_VALUE"""),45757.66666666667)</f>
        <v>45757.66667</v>
      </c>
      <c r="D1016" s="1">
        <f>IFERROR(__xludf.DUMMYFUNCTION("""COMPUTED_VALUE"""),381.35)</f>
        <v>381.35</v>
      </c>
      <c r="E1016" s="4">
        <f>IFERROR(__xludf.DUMMYFUNCTION("""COMPUTED_VALUE"""),45757.66666666667)</f>
        <v>45757.66667</v>
      </c>
      <c r="F1016" s="1">
        <f>IFERROR(__xludf.DUMMYFUNCTION("""COMPUTED_VALUE"""),99.93)</f>
        <v>99.93</v>
      </c>
      <c r="G1016" s="4">
        <f>IFERROR(__xludf.DUMMYFUNCTION("""COMPUTED_VALUE"""),45757.66666666667)</f>
        <v>45757.66667</v>
      </c>
      <c r="H1016" s="1">
        <f>IFERROR(__xludf.DUMMYFUNCTION("""COMPUTED_VALUE"""),134.98)</f>
        <v>134.98</v>
      </c>
      <c r="I1016" s="5">
        <f t="shared" si="1"/>
        <v>0.04059447537</v>
      </c>
      <c r="K1016" s="5">
        <f t="shared" si="2"/>
        <v>0.01861806739</v>
      </c>
      <c r="L1016" s="5">
        <f t="shared" si="3"/>
        <v>0.03212248574</v>
      </c>
      <c r="M1016" s="5">
        <f t="shared" si="4"/>
        <v>0.004815528226</v>
      </c>
      <c r="Q1016" s="5"/>
    </row>
    <row r="1017">
      <c r="A1017" s="4">
        <f>IFERROR(__xludf.DUMMYFUNCTION("""COMPUTED_VALUE"""),45758.66666666667)</f>
        <v>45758.66667</v>
      </c>
      <c r="B1017" s="1">
        <f>IFERROR(__xludf.DUMMYFUNCTION("""COMPUTED_VALUE"""),198.15)</f>
        <v>198.15</v>
      </c>
      <c r="C1017" s="4">
        <f>IFERROR(__xludf.DUMMYFUNCTION("""COMPUTED_VALUE"""),45758.66666666667)</f>
        <v>45758.66667</v>
      </c>
      <c r="D1017" s="1">
        <f>IFERROR(__xludf.DUMMYFUNCTION("""COMPUTED_VALUE"""),388.45)</f>
        <v>388.45</v>
      </c>
      <c r="E1017" s="4">
        <f>IFERROR(__xludf.DUMMYFUNCTION("""COMPUTED_VALUE"""),45758.66666666667)</f>
        <v>45758.66667</v>
      </c>
      <c r="F1017" s="1">
        <f>IFERROR(__xludf.DUMMYFUNCTION("""COMPUTED_VALUE"""),103.14)</f>
        <v>103.14</v>
      </c>
      <c r="G1017" s="4">
        <f>IFERROR(__xludf.DUMMYFUNCTION("""COMPUTED_VALUE"""),45758.66666666667)</f>
        <v>45758.66667</v>
      </c>
      <c r="H1017" s="1">
        <f>IFERROR(__xludf.DUMMYFUNCTION("""COMPUTED_VALUE"""),135.63)</f>
        <v>135.63</v>
      </c>
      <c r="I1017" s="5">
        <f t="shared" si="1"/>
        <v>0.0220539995</v>
      </c>
      <c r="K1017" s="5">
        <f t="shared" si="2"/>
        <v>-0.00164757369</v>
      </c>
      <c r="L1017" s="5">
        <f t="shared" si="3"/>
        <v>0.002423889858</v>
      </c>
      <c r="M1017" s="5">
        <f t="shared" si="4"/>
        <v>-0.002285630023</v>
      </c>
      <c r="Q1017" s="5"/>
    </row>
    <row r="1018">
      <c r="A1018" s="4">
        <f>IFERROR(__xludf.DUMMYFUNCTION("""COMPUTED_VALUE"""),45761.66666666667)</f>
        <v>45761.66667</v>
      </c>
      <c r="B1018" s="1">
        <f>IFERROR(__xludf.DUMMYFUNCTION("""COMPUTED_VALUE"""),202.52)</f>
        <v>202.52</v>
      </c>
      <c r="C1018" s="4">
        <f>IFERROR(__xludf.DUMMYFUNCTION("""COMPUTED_VALUE"""),45761.66666666667)</f>
        <v>45761.66667</v>
      </c>
      <c r="D1018" s="1">
        <f>IFERROR(__xludf.DUMMYFUNCTION("""COMPUTED_VALUE"""),387.81)</f>
        <v>387.81</v>
      </c>
      <c r="E1018" s="4">
        <f>IFERROR(__xludf.DUMMYFUNCTION("""COMPUTED_VALUE"""),45761.66666666667)</f>
        <v>45761.66667</v>
      </c>
      <c r="F1018" s="1">
        <f>IFERROR(__xludf.DUMMYFUNCTION("""COMPUTED_VALUE"""),103.39)</f>
        <v>103.39</v>
      </c>
      <c r="G1018" s="4">
        <f>IFERROR(__xludf.DUMMYFUNCTION("""COMPUTED_VALUE"""),45761.66666666667)</f>
        <v>45761.66667</v>
      </c>
      <c r="H1018" s="1">
        <f>IFERROR(__xludf.DUMMYFUNCTION("""COMPUTED_VALUE"""),135.32)</f>
        <v>135.32</v>
      </c>
      <c r="I1018" s="5">
        <f t="shared" si="1"/>
        <v>-0.001876357891</v>
      </c>
      <c r="K1018" s="5">
        <f t="shared" si="2"/>
        <v>-0.005363451175</v>
      </c>
      <c r="L1018" s="5">
        <f t="shared" si="3"/>
        <v>-0.002804913435</v>
      </c>
      <c r="M1018" s="5">
        <f t="shared" si="4"/>
        <v>-0.005764114691</v>
      </c>
      <c r="Q1018" s="5"/>
    </row>
    <row r="1019">
      <c r="A1019" s="4">
        <f>IFERROR(__xludf.DUMMYFUNCTION("""COMPUTED_VALUE"""),45762.66666666667)</f>
        <v>45762.66667</v>
      </c>
      <c r="B1019" s="1">
        <f>IFERROR(__xludf.DUMMYFUNCTION("""COMPUTED_VALUE"""),202.14)</f>
        <v>202.14</v>
      </c>
      <c r="C1019" s="4">
        <f>IFERROR(__xludf.DUMMYFUNCTION("""COMPUTED_VALUE"""),45762.66666666667)</f>
        <v>45762.66667</v>
      </c>
      <c r="D1019" s="1">
        <f>IFERROR(__xludf.DUMMYFUNCTION("""COMPUTED_VALUE"""),385.73)</f>
        <v>385.73</v>
      </c>
      <c r="E1019" s="4">
        <f>IFERROR(__xludf.DUMMYFUNCTION("""COMPUTED_VALUE"""),45762.66666666667)</f>
        <v>45762.66667</v>
      </c>
      <c r="F1019" s="1">
        <f>IFERROR(__xludf.DUMMYFUNCTION("""COMPUTED_VALUE"""),103.1)</f>
        <v>103.1</v>
      </c>
      <c r="G1019" s="4">
        <f>IFERROR(__xludf.DUMMYFUNCTION("""COMPUTED_VALUE"""),45762.66666666667)</f>
        <v>45762.66667</v>
      </c>
      <c r="H1019" s="1">
        <f>IFERROR(__xludf.DUMMYFUNCTION("""COMPUTED_VALUE"""),134.54)</f>
        <v>134.54</v>
      </c>
      <c r="I1019" s="5">
        <f t="shared" si="1"/>
        <v>-0.03893341249</v>
      </c>
      <c r="K1019" s="5">
        <f t="shared" si="2"/>
        <v>-0.03660591606</v>
      </c>
      <c r="L1019" s="5">
        <f t="shared" si="3"/>
        <v>0.01057225994</v>
      </c>
      <c r="M1019" s="5">
        <f t="shared" si="4"/>
        <v>0.006094841683</v>
      </c>
      <c r="Q1019" s="5"/>
    </row>
    <row r="1020">
      <c r="A1020" s="4">
        <f>IFERROR(__xludf.DUMMYFUNCTION("""COMPUTED_VALUE"""),45763.66666666667)</f>
        <v>45763.66667</v>
      </c>
      <c r="B1020" s="1">
        <f>IFERROR(__xludf.DUMMYFUNCTION("""COMPUTED_VALUE"""),194.27)</f>
        <v>194.27</v>
      </c>
      <c r="C1020" s="4">
        <f>IFERROR(__xludf.DUMMYFUNCTION("""COMPUTED_VALUE"""),45763.66666666667)</f>
        <v>45763.66667</v>
      </c>
      <c r="D1020" s="1">
        <f>IFERROR(__xludf.DUMMYFUNCTION("""COMPUTED_VALUE"""),371.61)</f>
        <v>371.61</v>
      </c>
      <c r="E1020" s="4">
        <f>IFERROR(__xludf.DUMMYFUNCTION("""COMPUTED_VALUE"""),45763.66666666667)</f>
        <v>45763.66667</v>
      </c>
      <c r="F1020" s="1">
        <f>IFERROR(__xludf.DUMMYFUNCTION("""COMPUTED_VALUE"""),104.19)</f>
        <v>104.19</v>
      </c>
      <c r="G1020" s="4">
        <f>IFERROR(__xludf.DUMMYFUNCTION("""COMPUTED_VALUE"""),45763.66666666667)</f>
        <v>45763.66667</v>
      </c>
      <c r="H1020" s="1">
        <f>IFERROR(__xludf.DUMMYFUNCTION("""COMPUTED_VALUE"""),135.36)</f>
        <v>135.36</v>
      </c>
      <c r="I1020" s="5">
        <f t="shared" si="1"/>
        <v>0.01394965769</v>
      </c>
      <c r="K1020" s="5">
        <f t="shared" si="2"/>
        <v>-0.01030650413</v>
      </c>
      <c r="L1020" s="5">
        <f t="shared" si="3"/>
        <v>0.02620213072</v>
      </c>
      <c r="M1020" s="5">
        <f t="shared" si="4"/>
        <v>0.01854314421</v>
      </c>
      <c r="Q1020" s="5"/>
    </row>
    <row r="1021">
      <c r="A1021" s="4">
        <f>IFERROR(__xludf.DUMMYFUNCTION("""COMPUTED_VALUE"""),45764.66666666667)</f>
        <v>45764.66667</v>
      </c>
      <c r="B1021" s="1">
        <f>IFERROR(__xludf.DUMMYFUNCTION("""COMPUTED_VALUE"""),196.98)</f>
        <v>196.98</v>
      </c>
      <c r="C1021" s="4">
        <f>IFERROR(__xludf.DUMMYFUNCTION("""COMPUTED_VALUE"""),45764.66666666667)</f>
        <v>45764.66667</v>
      </c>
      <c r="D1021" s="1">
        <f>IFERROR(__xludf.DUMMYFUNCTION("""COMPUTED_VALUE"""),367.78)</f>
        <v>367.78</v>
      </c>
      <c r="E1021" s="4">
        <f>IFERROR(__xludf.DUMMYFUNCTION("""COMPUTED_VALUE"""),45764.66666666667)</f>
        <v>45764.66667</v>
      </c>
      <c r="F1021" s="1">
        <f>IFERROR(__xludf.DUMMYFUNCTION("""COMPUTED_VALUE"""),106.92)</f>
        <v>106.92</v>
      </c>
      <c r="G1021" s="4">
        <f>IFERROR(__xludf.DUMMYFUNCTION("""COMPUTED_VALUE"""),45764.66666666667)</f>
        <v>45764.66667</v>
      </c>
      <c r="H1021" s="1">
        <f>IFERROR(__xludf.DUMMYFUNCTION("""COMPUTED_VALUE"""),137.87)</f>
        <v>137.87</v>
      </c>
      <c r="I1021" s="5">
        <f t="shared" si="1"/>
        <v>-0.01939283176</v>
      </c>
      <c r="K1021" s="5">
        <f t="shared" si="2"/>
        <v>-0.02354668552</v>
      </c>
      <c r="L1021" s="5">
        <f t="shared" si="3"/>
        <v>-0.01468387579</v>
      </c>
      <c r="M1021" s="5">
        <f t="shared" si="4"/>
        <v>-0.03002828752</v>
      </c>
      <c r="Q1021" s="5"/>
    </row>
    <row r="1022">
      <c r="A1022" s="4">
        <f>IFERROR(__xludf.DUMMYFUNCTION("""COMPUTED_VALUE"""),45768.66666666667)</f>
        <v>45768.66667</v>
      </c>
      <c r="B1022" s="1">
        <f>IFERROR(__xludf.DUMMYFUNCTION("""COMPUTED_VALUE"""),193.16)</f>
        <v>193.16</v>
      </c>
      <c r="C1022" s="4">
        <f>IFERROR(__xludf.DUMMYFUNCTION("""COMPUTED_VALUE"""),45768.66666666667)</f>
        <v>45768.66667</v>
      </c>
      <c r="D1022" s="1">
        <f>IFERROR(__xludf.DUMMYFUNCTION("""COMPUTED_VALUE"""),359.12)</f>
        <v>359.12</v>
      </c>
      <c r="E1022" s="4">
        <f>IFERROR(__xludf.DUMMYFUNCTION("""COMPUTED_VALUE"""),45768.66666666667)</f>
        <v>45768.66667</v>
      </c>
      <c r="F1022" s="1">
        <f>IFERROR(__xludf.DUMMYFUNCTION("""COMPUTED_VALUE"""),105.35)</f>
        <v>105.35</v>
      </c>
      <c r="G1022" s="4">
        <f>IFERROR(__xludf.DUMMYFUNCTION("""COMPUTED_VALUE"""),45768.66666666667)</f>
        <v>45768.66667</v>
      </c>
      <c r="H1022" s="1">
        <f>IFERROR(__xludf.DUMMYFUNCTION("""COMPUTED_VALUE"""),133.73)</f>
        <v>133.73</v>
      </c>
      <c r="I1022" s="5">
        <f t="shared" si="1"/>
        <v>0.03406502381</v>
      </c>
      <c r="K1022" s="5">
        <f t="shared" si="2"/>
        <v>0.02144130096</v>
      </c>
      <c r="L1022" s="5">
        <f t="shared" si="3"/>
        <v>0.02800189843</v>
      </c>
      <c r="M1022" s="5">
        <f t="shared" si="4"/>
        <v>0.02669558065</v>
      </c>
      <c r="Q1022" s="5"/>
    </row>
    <row r="1023">
      <c r="A1023" s="4">
        <f>IFERROR(__xludf.DUMMYFUNCTION("""COMPUTED_VALUE"""),45769.66666666667)</f>
        <v>45769.66667</v>
      </c>
      <c r="B1023" s="1">
        <f>IFERROR(__xludf.DUMMYFUNCTION("""COMPUTED_VALUE"""),199.74)</f>
        <v>199.74</v>
      </c>
      <c r="C1023" s="4">
        <f>IFERROR(__xludf.DUMMYFUNCTION("""COMPUTED_VALUE"""),45769.66666666667)</f>
        <v>45769.66667</v>
      </c>
      <c r="D1023" s="1">
        <f>IFERROR(__xludf.DUMMYFUNCTION("""COMPUTED_VALUE"""),366.82)</f>
        <v>366.82</v>
      </c>
      <c r="E1023" s="4">
        <f>IFERROR(__xludf.DUMMYFUNCTION("""COMPUTED_VALUE"""),45769.66666666667)</f>
        <v>45769.66667</v>
      </c>
      <c r="F1023" s="1">
        <f>IFERROR(__xludf.DUMMYFUNCTION("""COMPUTED_VALUE"""),108.3)</f>
        <v>108.3</v>
      </c>
      <c r="G1023" s="4">
        <f>IFERROR(__xludf.DUMMYFUNCTION("""COMPUTED_VALUE"""),45769.66666666667)</f>
        <v>45769.66667</v>
      </c>
      <c r="H1023" s="1">
        <f>IFERROR(__xludf.DUMMYFUNCTION("""COMPUTED_VALUE"""),137.3)</f>
        <v>137.3</v>
      </c>
      <c r="I1023" s="5">
        <f t="shared" si="1"/>
        <v>0.02433163112</v>
      </c>
      <c r="K1023" s="5">
        <f t="shared" si="2"/>
        <v>0.0206368246</v>
      </c>
      <c r="L1023" s="5">
        <f t="shared" si="3"/>
        <v>-0.008587257618</v>
      </c>
      <c r="M1023" s="5">
        <f t="shared" si="4"/>
        <v>-0.004515659141</v>
      </c>
      <c r="Q1023" s="5"/>
    </row>
    <row r="1024">
      <c r="A1024" s="4">
        <f>IFERROR(__xludf.DUMMYFUNCTION("""COMPUTED_VALUE"""),45770.66666666667)</f>
        <v>45770.66667</v>
      </c>
      <c r="B1024" s="1">
        <f>IFERROR(__xludf.DUMMYFUNCTION("""COMPUTED_VALUE"""),204.6)</f>
        <v>204.6</v>
      </c>
      <c r="C1024" s="4">
        <f>IFERROR(__xludf.DUMMYFUNCTION("""COMPUTED_VALUE"""),45770.66666666667)</f>
        <v>45770.66667</v>
      </c>
      <c r="D1024" s="1">
        <f>IFERROR(__xludf.DUMMYFUNCTION("""COMPUTED_VALUE"""),374.39)</f>
        <v>374.39</v>
      </c>
      <c r="E1024" s="4">
        <f>IFERROR(__xludf.DUMMYFUNCTION("""COMPUTED_VALUE"""),45770.66666666667)</f>
        <v>45770.66667</v>
      </c>
      <c r="F1024" s="1">
        <f>IFERROR(__xludf.DUMMYFUNCTION("""COMPUTED_VALUE"""),107.37)</f>
        <v>107.37</v>
      </c>
      <c r="G1024" s="4">
        <f>IFERROR(__xludf.DUMMYFUNCTION("""COMPUTED_VALUE"""),45770.66666666667)</f>
        <v>45770.66667</v>
      </c>
      <c r="H1024" s="1">
        <f>IFERROR(__xludf.DUMMYFUNCTION("""COMPUTED_VALUE"""),136.68)</f>
        <v>136.68</v>
      </c>
      <c r="I1024" s="5">
        <f t="shared" si="1"/>
        <v>0.01842619746</v>
      </c>
      <c r="K1024" s="5">
        <f t="shared" si="2"/>
        <v>0.03448275862</v>
      </c>
      <c r="L1024" s="5">
        <f t="shared" si="3"/>
        <v>0.01173512154</v>
      </c>
      <c r="M1024" s="5">
        <f t="shared" si="4"/>
        <v>0.01748609892</v>
      </c>
      <c r="Q1024" s="5"/>
    </row>
    <row r="1025">
      <c r="A1025" s="4">
        <f>IFERROR(__xludf.DUMMYFUNCTION("""COMPUTED_VALUE"""),45771.66666666667)</f>
        <v>45771.66667</v>
      </c>
      <c r="B1025" s="1">
        <f>IFERROR(__xludf.DUMMYFUNCTION("""COMPUTED_VALUE"""),208.37)</f>
        <v>208.37</v>
      </c>
      <c r="C1025" s="4">
        <f>IFERROR(__xludf.DUMMYFUNCTION("""COMPUTED_VALUE"""),45771.66666666667)</f>
        <v>45771.66667</v>
      </c>
      <c r="D1025" s="1">
        <f>IFERROR(__xludf.DUMMYFUNCTION("""COMPUTED_VALUE"""),387.3)</f>
        <v>387.3</v>
      </c>
      <c r="E1025" s="4">
        <f>IFERROR(__xludf.DUMMYFUNCTION("""COMPUTED_VALUE"""),45771.66666666667)</f>
        <v>45771.66667</v>
      </c>
      <c r="F1025" s="1">
        <f>IFERROR(__xludf.DUMMYFUNCTION("""COMPUTED_VALUE"""),108.63)</f>
        <v>108.63</v>
      </c>
      <c r="G1025" s="4">
        <f>IFERROR(__xludf.DUMMYFUNCTION("""COMPUTED_VALUE"""),45771.66666666667)</f>
        <v>45771.66667</v>
      </c>
      <c r="H1025" s="1">
        <f>IFERROR(__xludf.DUMMYFUNCTION("""COMPUTED_VALUE"""),139.07)</f>
        <v>139.07</v>
      </c>
      <c r="I1025" s="5">
        <f t="shared" si="1"/>
        <v>0.004367231367</v>
      </c>
      <c r="K1025" s="5">
        <f t="shared" si="2"/>
        <v>0.01174799897</v>
      </c>
      <c r="L1025" s="5">
        <f t="shared" si="3"/>
        <v>-0.0005523336095</v>
      </c>
      <c r="M1025" s="5">
        <f t="shared" si="4"/>
        <v>-0.002444811965</v>
      </c>
      <c r="Q1025" s="5"/>
    </row>
    <row r="1026">
      <c r="A1026" s="4">
        <f>IFERROR(__xludf.DUMMYFUNCTION("""COMPUTED_VALUE"""),45772.66666666667)</f>
        <v>45772.66667</v>
      </c>
      <c r="B1026" s="1">
        <f>IFERROR(__xludf.DUMMYFUNCTION("""COMPUTED_VALUE"""),209.28)</f>
        <v>209.28</v>
      </c>
      <c r="C1026" s="4">
        <f>IFERROR(__xludf.DUMMYFUNCTION("""COMPUTED_VALUE"""),45772.66666666667)</f>
        <v>45772.66667</v>
      </c>
      <c r="D1026" s="1">
        <f>IFERROR(__xludf.DUMMYFUNCTION("""COMPUTED_VALUE"""),391.85)</f>
        <v>391.85</v>
      </c>
      <c r="E1026" s="4">
        <f>IFERROR(__xludf.DUMMYFUNCTION("""COMPUTED_VALUE"""),45772.66666666667)</f>
        <v>45772.66667</v>
      </c>
      <c r="F1026" s="1">
        <f>IFERROR(__xludf.DUMMYFUNCTION("""COMPUTED_VALUE"""),108.57)</f>
        <v>108.57</v>
      </c>
      <c r="G1026" s="4">
        <f>IFERROR(__xludf.DUMMYFUNCTION("""COMPUTED_VALUE"""),45772.66666666667)</f>
        <v>45772.66667</v>
      </c>
      <c r="H1026" s="1">
        <f>IFERROR(__xludf.DUMMYFUNCTION("""COMPUTED_VALUE"""),138.73)</f>
        <v>138.73</v>
      </c>
      <c r="I1026" s="5">
        <f t="shared" si="1"/>
        <v>0.004109327217</v>
      </c>
      <c r="K1026" s="5">
        <f t="shared" si="2"/>
        <v>-0.001760877887</v>
      </c>
      <c r="L1026" s="5">
        <f t="shared" si="3"/>
        <v>0.0005526388505</v>
      </c>
      <c r="M1026" s="5">
        <f t="shared" si="4"/>
        <v>0.00987529734</v>
      </c>
      <c r="Q1026" s="5"/>
    </row>
    <row r="1027">
      <c r="A1027" s="4">
        <f>IFERROR(__xludf.DUMMYFUNCTION("""COMPUTED_VALUE"""),45775.66666666667)</f>
        <v>45775.66667</v>
      </c>
      <c r="B1027" s="1">
        <f>IFERROR(__xludf.DUMMYFUNCTION("""COMPUTED_VALUE"""),210.14)</f>
        <v>210.14</v>
      </c>
      <c r="C1027" s="4">
        <f>IFERROR(__xludf.DUMMYFUNCTION("""COMPUTED_VALUE"""),45775.66666666667)</f>
        <v>45775.66667</v>
      </c>
      <c r="D1027" s="1">
        <f>IFERROR(__xludf.DUMMYFUNCTION("""COMPUTED_VALUE"""),391.16)</f>
        <v>391.16</v>
      </c>
      <c r="E1027" s="4">
        <f>IFERROR(__xludf.DUMMYFUNCTION("""COMPUTED_VALUE"""),45775.66666666667)</f>
        <v>45775.66667</v>
      </c>
      <c r="F1027" s="1">
        <f>IFERROR(__xludf.DUMMYFUNCTION("""COMPUTED_VALUE"""),108.63)</f>
        <v>108.63</v>
      </c>
      <c r="G1027" s="4">
        <f>IFERROR(__xludf.DUMMYFUNCTION("""COMPUTED_VALUE"""),45775.66666666667)</f>
        <v>45775.66667</v>
      </c>
      <c r="H1027" s="1">
        <f>IFERROR(__xludf.DUMMYFUNCTION("""COMPUTED_VALUE"""),140.1)</f>
        <v>140.1</v>
      </c>
      <c r="I1027" s="5">
        <f t="shared" si="1"/>
        <v>0.005091843533</v>
      </c>
      <c r="K1027" s="5">
        <f t="shared" si="2"/>
        <v>0.007362716024</v>
      </c>
      <c r="L1027" s="5">
        <f t="shared" si="3"/>
        <v>-0.002485501243</v>
      </c>
      <c r="M1027" s="5">
        <f t="shared" si="4"/>
        <v>-0.005710206995</v>
      </c>
      <c r="Q1027" s="5"/>
    </row>
    <row r="1028">
      <c r="A1028" s="4">
        <f>IFERROR(__xludf.DUMMYFUNCTION("""COMPUTED_VALUE"""),45776.66666666667)</f>
        <v>45776.66667</v>
      </c>
      <c r="B1028" s="1">
        <f>IFERROR(__xludf.DUMMYFUNCTION("""COMPUTED_VALUE"""),211.21)</f>
        <v>211.21</v>
      </c>
      <c r="C1028" s="4">
        <f>IFERROR(__xludf.DUMMYFUNCTION("""COMPUTED_VALUE"""),45776.66666666667)</f>
        <v>45776.66667</v>
      </c>
      <c r="D1028" s="1">
        <f>IFERROR(__xludf.DUMMYFUNCTION("""COMPUTED_VALUE"""),394.04)</f>
        <v>394.04</v>
      </c>
      <c r="E1028" s="4">
        <f>IFERROR(__xludf.DUMMYFUNCTION("""COMPUTED_VALUE"""),45776.66666666667)</f>
        <v>45776.66667</v>
      </c>
      <c r="F1028" s="1">
        <f>IFERROR(__xludf.DUMMYFUNCTION("""COMPUTED_VALUE"""),108.36)</f>
        <v>108.36</v>
      </c>
      <c r="G1028" s="4">
        <f>IFERROR(__xludf.DUMMYFUNCTION("""COMPUTED_VALUE"""),45776.66666666667)</f>
        <v>45776.66667</v>
      </c>
      <c r="H1028" s="1">
        <f>IFERROR(__xludf.DUMMYFUNCTION("""COMPUTED_VALUE"""),139.3)</f>
        <v>139.3</v>
      </c>
      <c r="I1028" s="5">
        <f t="shared" si="1"/>
        <v>0.006107665357</v>
      </c>
      <c r="K1028" s="5">
        <f t="shared" si="2"/>
        <v>0.003096132372</v>
      </c>
      <c r="L1028" s="5">
        <f t="shared" si="3"/>
        <v>-0.02519379845</v>
      </c>
      <c r="M1028" s="5">
        <f t="shared" si="4"/>
        <v>-0.02325915291</v>
      </c>
      <c r="Q1028" s="5"/>
    </row>
    <row r="1029">
      <c r="A1029" s="4">
        <f>IFERROR(__xludf.DUMMYFUNCTION("""COMPUTED_VALUE"""),45777.66666666667)</f>
        <v>45777.66667</v>
      </c>
      <c r="B1029" s="1">
        <f>IFERROR(__xludf.DUMMYFUNCTION("""COMPUTED_VALUE"""),212.5)</f>
        <v>212.5</v>
      </c>
      <c r="C1029" s="4">
        <f>IFERROR(__xludf.DUMMYFUNCTION("""COMPUTED_VALUE"""),45777.66666666667)</f>
        <v>45777.66667</v>
      </c>
      <c r="D1029" s="1">
        <f>IFERROR(__xludf.DUMMYFUNCTION("""COMPUTED_VALUE"""),395.26)</f>
        <v>395.26</v>
      </c>
      <c r="E1029" s="4">
        <f>IFERROR(__xludf.DUMMYFUNCTION("""COMPUTED_VALUE"""),45777.66666666667)</f>
        <v>45777.66667</v>
      </c>
      <c r="F1029" s="1">
        <f>IFERROR(__xludf.DUMMYFUNCTION("""COMPUTED_VALUE"""),105.63)</f>
        <v>105.63</v>
      </c>
      <c r="G1029" s="4">
        <f>IFERROR(__xludf.DUMMYFUNCTION("""COMPUTED_VALUE"""),45777.66666666667)</f>
        <v>45777.66667</v>
      </c>
      <c r="H1029" s="1">
        <f>IFERROR(__xludf.DUMMYFUNCTION("""COMPUTED_VALUE"""),136.06)</f>
        <v>136.06</v>
      </c>
      <c r="I1029" s="5">
        <f t="shared" si="1"/>
        <v>0.003858823529</v>
      </c>
      <c r="K1029" s="5">
        <f t="shared" si="2"/>
        <v>0.07625360522</v>
      </c>
      <c r="L1029" s="5">
        <f t="shared" si="3"/>
        <v>0.001420051122</v>
      </c>
      <c r="M1029" s="5">
        <f t="shared" si="4"/>
        <v>0.001469939732</v>
      </c>
      <c r="Q1029" s="5"/>
    </row>
    <row r="1030">
      <c r="A1030" s="4">
        <f>IFERROR(__xludf.DUMMYFUNCTION("""COMPUTED_VALUE"""),45778.66666666667)</f>
        <v>45778.66667</v>
      </c>
      <c r="B1030" s="1">
        <f>IFERROR(__xludf.DUMMYFUNCTION("""COMPUTED_VALUE"""),213.32)</f>
        <v>213.32</v>
      </c>
      <c r="C1030" s="4">
        <f>IFERROR(__xludf.DUMMYFUNCTION("""COMPUTED_VALUE"""),45778.66666666667)</f>
        <v>45778.66667</v>
      </c>
      <c r="D1030" s="1">
        <f>IFERROR(__xludf.DUMMYFUNCTION("""COMPUTED_VALUE"""),425.4)</f>
        <v>425.4</v>
      </c>
      <c r="E1030" s="4">
        <f>IFERROR(__xludf.DUMMYFUNCTION("""COMPUTED_VALUE"""),45778.66666666667)</f>
        <v>45778.66667</v>
      </c>
      <c r="F1030" s="1">
        <f>IFERROR(__xludf.DUMMYFUNCTION("""COMPUTED_VALUE"""),105.78)</f>
        <v>105.78</v>
      </c>
      <c r="G1030" s="4">
        <f>IFERROR(__xludf.DUMMYFUNCTION("""COMPUTED_VALUE"""),45778.66666666667)</f>
        <v>45778.66667</v>
      </c>
      <c r="H1030" s="1">
        <f>IFERROR(__xludf.DUMMYFUNCTION("""COMPUTED_VALUE"""),136.26)</f>
        <v>136.26</v>
      </c>
      <c r="I1030" s="5">
        <f t="shared" si="1"/>
        <v>-0.03736171011</v>
      </c>
      <c r="K1030" s="5">
        <f t="shared" si="2"/>
        <v>0.02322519981</v>
      </c>
      <c r="L1030" s="5">
        <f t="shared" si="3"/>
        <v>0.00406504065</v>
      </c>
      <c r="M1030" s="5">
        <f t="shared" si="4"/>
        <v>0.01643916043</v>
      </c>
      <c r="Q1030" s="5"/>
    </row>
    <row r="1031">
      <c r="A1031" s="4">
        <f>IFERROR(__xludf.DUMMYFUNCTION("""COMPUTED_VALUE"""),45779.66666666667)</f>
        <v>45779.66667</v>
      </c>
      <c r="B1031" s="1">
        <f>IFERROR(__xludf.DUMMYFUNCTION("""COMPUTED_VALUE"""),205.35)</f>
        <v>205.35</v>
      </c>
      <c r="C1031" s="4">
        <f>IFERROR(__xludf.DUMMYFUNCTION("""COMPUTED_VALUE"""),45779.66666666667)</f>
        <v>45779.66667</v>
      </c>
      <c r="D1031" s="1">
        <f>IFERROR(__xludf.DUMMYFUNCTION("""COMPUTED_VALUE"""),435.28)</f>
        <v>435.28</v>
      </c>
      <c r="E1031" s="4">
        <f>IFERROR(__xludf.DUMMYFUNCTION("""COMPUTED_VALUE"""),45779.66666666667)</f>
        <v>45779.66667</v>
      </c>
      <c r="F1031" s="1">
        <f>IFERROR(__xludf.DUMMYFUNCTION("""COMPUTED_VALUE"""),106.21)</f>
        <v>106.21</v>
      </c>
      <c r="G1031" s="4">
        <f>IFERROR(__xludf.DUMMYFUNCTION("""COMPUTED_VALUE"""),45779.66666666667)</f>
        <v>45779.66667</v>
      </c>
      <c r="H1031" s="1">
        <f>IFERROR(__xludf.DUMMYFUNCTION("""COMPUTED_VALUE"""),138.5)</f>
        <v>138.5</v>
      </c>
      <c r="I1031" s="5">
        <f t="shared" si="1"/>
        <v>-0.03145848551</v>
      </c>
      <c r="K1031" s="5">
        <f t="shared" si="2"/>
        <v>0.002044660908</v>
      </c>
      <c r="L1031" s="5">
        <f t="shared" si="3"/>
        <v>-0.02768100932</v>
      </c>
      <c r="M1031" s="5">
        <f t="shared" si="4"/>
        <v>-0.02166064982</v>
      </c>
      <c r="Q1031" s="5"/>
    </row>
    <row r="1032">
      <c r="A1032" s="4">
        <f>IFERROR(__xludf.DUMMYFUNCTION("""COMPUTED_VALUE"""),45782.66666666667)</f>
        <v>45782.66667</v>
      </c>
      <c r="B1032" s="1">
        <f>IFERROR(__xludf.DUMMYFUNCTION("""COMPUTED_VALUE"""),198.89)</f>
        <v>198.89</v>
      </c>
      <c r="C1032" s="4">
        <f>IFERROR(__xludf.DUMMYFUNCTION("""COMPUTED_VALUE"""),45782.66666666667)</f>
        <v>45782.66667</v>
      </c>
      <c r="D1032" s="1">
        <f>IFERROR(__xludf.DUMMYFUNCTION("""COMPUTED_VALUE"""),436.17)</f>
        <v>436.17</v>
      </c>
      <c r="E1032" s="4">
        <f>IFERROR(__xludf.DUMMYFUNCTION("""COMPUTED_VALUE"""),45782.66666666667)</f>
        <v>45782.66667</v>
      </c>
      <c r="F1032" s="1">
        <f>IFERROR(__xludf.DUMMYFUNCTION("""COMPUTED_VALUE"""),103.27)</f>
        <v>103.27</v>
      </c>
      <c r="G1032" s="4">
        <f>IFERROR(__xludf.DUMMYFUNCTION("""COMPUTED_VALUE"""),45782.66666666667)</f>
        <v>45782.66667</v>
      </c>
      <c r="H1032" s="1">
        <f>IFERROR(__xludf.DUMMYFUNCTION("""COMPUTED_VALUE"""),135.5)</f>
        <v>135.5</v>
      </c>
      <c r="I1032" s="5">
        <f t="shared" si="1"/>
        <v>-0.001910603851</v>
      </c>
      <c r="K1032" s="5">
        <f t="shared" si="2"/>
        <v>-0.006557076369</v>
      </c>
      <c r="L1032" s="5">
        <f t="shared" si="3"/>
        <v>0.01394403021</v>
      </c>
      <c r="M1032" s="5">
        <f t="shared" si="4"/>
        <v>0.0007380073801</v>
      </c>
      <c r="Q1032" s="5"/>
    </row>
    <row r="1033">
      <c r="A1033" s="4">
        <f>IFERROR(__xludf.DUMMYFUNCTION("""COMPUTED_VALUE"""),45783.66666666667)</f>
        <v>45783.66667</v>
      </c>
      <c r="B1033" s="1">
        <f>IFERROR(__xludf.DUMMYFUNCTION("""COMPUTED_VALUE"""),198.51)</f>
        <v>198.51</v>
      </c>
      <c r="C1033" s="4">
        <f>IFERROR(__xludf.DUMMYFUNCTION("""COMPUTED_VALUE"""),45783.66666666667)</f>
        <v>45783.66667</v>
      </c>
      <c r="D1033" s="1">
        <f>IFERROR(__xludf.DUMMYFUNCTION("""COMPUTED_VALUE"""),433.31)</f>
        <v>433.31</v>
      </c>
      <c r="E1033" s="4">
        <f>IFERROR(__xludf.DUMMYFUNCTION("""COMPUTED_VALUE"""),45783.66666666667)</f>
        <v>45783.66667</v>
      </c>
      <c r="F1033" s="1">
        <f>IFERROR(__xludf.DUMMYFUNCTION("""COMPUTED_VALUE"""),104.71)</f>
        <v>104.71</v>
      </c>
      <c r="G1033" s="4">
        <f>IFERROR(__xludf.DUMMYFUNCTION("""COMPUTED_VALUE"""),45783.66666666667)</f>
        <v>45783.66667</v>
      </c>
      <c r="H1033" s="1">
        <f>IFERROR(__xludf.DUMMYFUNCTION("""COMPUTED_VALUE"""),135.6)</f>
        <v>135.6</v>
      </c>
      <c r="I1033" s="5">
        <f t="shared" si="1"/>
        <v>-0.01138481689</v>
      </c>
      <c r="K1033" s="5">
        <f t="shared" si="2"/>
        <v>0.00009231266299</v>
      </c>
      <c r="L1033" s="5">
        <f t="shared" si="3"/>
        <v>-0.0009550186229</v>
      </c>
      <c r="M1033" s="5">
        <f t="shared" si="4"/>
        <v>0.001401179941</v>
      </c>
      <c r="Q1033" s="5"/>
    </row>
    <row r="1034">
      <c r="A1034" s="4">
        <f>IFERROR(__xludf.DUMMYFUNCTION("""COMPUTED_VALUE"""),45784.66666666667)</f>
        <v>45784.66667</v>
      </c>
      <c r="B1034" s="1">
        <f>IFERROR(__xludf.DUMMYFUNCTION("""COMPUTED_VALUE"""),196.25)</f>
        <v>196.25</v>
      </c>
      <c r="C1034" s="4">
        <f>IFERROR(__xludf.DUMMYFUNCTION("""COMPUTED_VALUE"""),45784.66666666667)</f>
        <v>45784.66667</v>
      </c>
      <c r="D1034" s="1">
        <f>IFERROR(__xludf.DUMMYFUNCTION("""COMPUTED_VALUE"""),433.35)</f>
        <v>433.35</v>
      </c>
      <c r="E1034" s="4">
        <f>IFERROR(__xludf.DUMMYFUNCTION("""COMPUTED_VALUE"""),45784.66666666667)</f>
        <v>45784.66667</v>
      </c>
      <c r="F1034" s="1">
        <f>IFERROR(__xludf.DUMMYFUNCTION("""COMPUTED_VALUE"""),104.61)</f>
        <v>104.61</v>
      </c>
      <c r="G1034" s="4">
        <f>IFERROR(__xludf.DUMMYFUNCTION("""COMPUTED_VALUE"""),45784.66666666667)</f>
        <v>45784.66667</v>
      </c>
      <c r="H1034" s="1">
        <f>IFERROR(__xludf.DUMMYFUNCTION("""COMPUTED_VALUE"""),135.79)</f>
        <v>135.79</v>
      </c>
      <c r="I1034" s="5">
        <f t="shared" si="1"/>
        <v>0.006318471338</v>
      </c>
      <c r="K1034" s="5">
        <f t="shared" si="2"/>
        <v>0.01112264913</v>
      </c>
      <c r="L1034" s="5">
        <f t="shared" si="3"/>
        <v>0.01395660071</v>
      </c>
      <c r="M1034" s="5">
        <f t="shared" si="4"/>
        <v>0.009205390677</v>
      </c>
      <c r="Q1034" s="5"/>
    </row>
    <row r="1035">
      <c r="A1035" s="4">
        <f>IFERROR(__xludf.DUMMYFUNCTION("""COMPUTED_VALUE"""),45785.66666666667)</f>
        <v>45785.66667</v>
      </c>
      <c r="B1035" s="1">
        <f>IFERROR(__xludf.DUMMYFUNCTION("""COMPUTED_VALUE"""),197.49)</f>
        <v>197.49</v>
      </c>
      <c r="C1035" s="4">
        <f>IFERROR(__xludf.DUMMYFUNCTION("""COMPUTED_VALUE"""),45785.66666666667)</f>
        <v>45785.66667</v>
      </c>
      <c r="D1035" s="1">
        <f>IFERROR(__xludf.DUMMYFUNCTION("""COMPUTED_VALUE"""),438.17)</f>
        <v>438.17</v>
      </c>
      <c r="E1035" s="4">
        <f>IFERROR(__xludf.DUMMYFUNCTION("""COMPUTED_VALUE"""),45785.66666666667)</f>
        <v>45785.66667</v>
      </c>
      <c r="F1035" s="1">
        <f>IFERROR(__xludf.DUMMYFUNCTION("""COMPUTED_VALUE"""),106.07)</f>
        <v>106.07</v>
      </c>
      <c r="G1035" s="4">
        <f>IFERROR(__xludf.DUMMYFUNCTION("""COMPUTED_VALUE"""),45785.66666666667)</f>
        <v>45785.66667</v>
      </c>
      <c r="H1035" s="1">
        <f>IFERROR(__xludf.DUMMYFUNCTION("""COMPUTED_VALUE"""),137.04)</f>
        <v>137.04</v>
      </c>
      <c r="I1035" s="5">
        <f t="shared" si="1"/>
        <v>0.005266089422</v>
      </c>
      <c r="K1035" s="5">
        <f t="shared" si="2"/>
        <v>0.001278042769</v>
      </c>
      <c r="L1035" s="5">
        <f t="shared" si="3"/>
        <v>0.01169039314</v>
      </c>
      <c r="M1035" s="5">
        <f t="shared" si="4"/>
        <v>0.01058085231</v>
      </c>
      <c r="Q1035" s="5"/>
    </row>
    <row r="1036">
      <c r="A1036" s="4">
        <f>IFERROR(__xludf.DUMMYFUNCTION("""COMPUTED_VALUE"""),45786.66666666667)</f>
        <v>45786.66667</v>
      </c>
      <c r="B1036" s="1">
        <f>IFERROR(__xludf.DUMMYFUNCTION("""COMPUTED_VALUE"""),198.53)</f>
        <v>198.53</v>
      </c>
      <c r="C1036" s="4">
        <f>IFERROR(__xludf.DUMMYFUNCTION("""COMPUTED_VALUE"""),45786.66666666667)</f>
        <v>45786.66667</v>
      </c>
      <c r="D1036" s="1">
        <f>IFERROR(__xludf.DUMMYFUNCTION("""COMPUTED_VALUE"""),438.73)</f>
        <v>438.73</v>
      </c>
      <c r="E1036" s="4">
        <f>IFERROR(__xludf.DUMMYFUNCTION("""COMPUTED_VALUE"""),45786.66666666667)</f>
        <v>45786.66667</v>
      </c>
      <c r="F1036" s="1">
        <f>IFERROR(__xludf.DUMMYFUNCTION("""COMPUTED_VALUE"""),107.31)</f>
        <v>107.31</v>
      </c>
      <c r="G1036" s="4">
        <f>IFERROR(__xludf.DUMMYFUNCTION("""COMPUTED_VALUE"""),45786.66666666667)</f>
        <v>45786.66667</v>
      </c>
      <c r="H1036" s="1">
        <f>IFERROR(__xludf.DUMMYFUNCTION("""COMPUTED_VALUE"""),138.49)</f>
        <v>138.49</v>
      </c>
      <c r="I1036" s="5">
        <f t="shared" si="1"/>
        <v>0.0617538911</v>
      </c>
      <c r="K1036" s="5">
        <f t="shared" si="2"/>
        <v>0.02400109407</v>
      </c>
      <c r="L1036" s="5">
        <f t="shared" si="3"/>
        <v>0.01723977262</v>
      </c>
      <c r="M1036" s="5">
        <f t="shared" si="4"/>
        <v>0.02260090981</v>
      </c>
      <c r="Q1036" s="5"/>
    </row>
    <row r="1037">
      <c r="A1037" s="4">
        <f>IFERROR(__xludf.DUMMYFUNCTION("""COMPUTED_VALUE"""),45789.66666666667)</f>
        <v>45789.66667</v>
      </c>
      <c r="B1037" s="1">
        <f>IFERROR(__xludf.DUMMYFUNCTION("""COMPUTED_VALUE"""),210.79)</f>
        <v>210.79</v>
      </c>
      <c r="C1037" s="4">
        <f>IFERROR(__xludf.DUMMYFUNCTION("""COMPUTED_VALUE"""),45789.66666666667)</f>
        <v>45789.66667</v>
      </c>
      <c r="D1037" s="1">
        <f>IFERROR(__xludf.DUMMYFUNCTION("""COMPUTED_VALUE"""),449.26)</f>
        <v>449.26</v>
      </c>
      <c r="E1037" s="4">
        <f>IFERROR(__xludf.DUMMYFUNCTION("""COMPUTED_VALUE"""),45789.66666666667)</f>
        <v>45789.66667</v>
      </c>
      <c r="F1037" s="1">
        <f>IFERROR(__xludf.DUMMYFUNCTION("""COMPUTED_VALUE"""),109.16)</f>
        <v>109.16</v>
      </c>
      <c r="G1037" s="4">
        <f>IFERROR(__xludf.DUMMYFUNCTION("""COMPUTED_VALUE"""),45789.66666666667)</f>
        <v>45789.66667</v>
      </c>
      <c r="H1037" s="1">
        <f>IFERROR(__xludf.DUMMYFUNCTION("""COMPUTED_VALUE"""),141.62)</f>
        <v>141.62</v>
      </c>
      <c r="I1037" s="5">
        <f t="shared" si="1"/>
        <v>0.01015228426</v>
      </c>
      <c r="K1037" s="5">
        <f t="shared" si="2"/>
        <v>-0.0002671059075</v>
      </c>
      <c r="L1037" s="5">
        <f t="shared" si="3"/>
        <v>0.002748259436</v>
      </c>
      <c r="M1037" s="5">
        <f t="shared" si="4"/>
        <v>0.005154639175</v>
      </c>
      <c r="Q1037" s="5"/>
    </row>
    <row r="1038">
      <c r="A1038" s="4">
        <f>IFERROR(__xludf.DUMMYFUNCTION("""COMPUTED_VALUE"""),45790.66666666667)</f>
        <v>45790.66667</v>
      </c>
      <c r="B1038" s="1">
        <f>IFERROR(__xludf.DUMMYFUNCTION("""COMPUTED_VALUE"""),212.93)</f>
        <v>212.93</v>
      </c>
      <c r="C1038" s="4">
        <f>IFERROR(__xludf.DUMMYFUNCTION("""COMPUTED_VALUE"""),45790.66666666667)</f>
        <v>45790.66667</v>
      </c>
      <c r="D1038" s="1">
        <f>IFERROR(__xludf.DUMMYFUNCTION("""COMPUTED_VALUE"""),449.14)</f>
        <v>449.14</v>
      </c>
      <c r="E1038" s="4">
        <f>IFERROR(__xludf.DUMMYFUNCTION("""COMPUTED_VALUE"""),45790.66666666667)</f>
        <v>45790.66667</v>
      </c>
      <c r="F1038" s="1">
        <f>IFERROR(__xludf.DUMMYFUNCTION("""COMPUTED_VALUE"""),109.46)</f>
        <v>109.46</v>
      </c>
      <c r="G1038" s="4">
        <f>IFERROR(__xludf.DUMMYFUNCTION("""COMPUTED_VALUE"""),45790.66666666667)</f>
        <v>45790.66667</v>
      </c>
      <c r="H1038" s="1">
        <f>IFERROR(__xludf.DUMMYFUNCTION("""COMPUTED_VALUE"""),142.35)</f>
        <v>142.35</v>
      </c>
      <c r="I1038" s="5">
        <f t="shared" si="1"/>
        <v>-0.002817827455</v>
      </c>
      <c r="K1038" s="5">
        <f t="shared" si="2"/>
        <v>0.008460613617</v>
      </c>
      <c r="L1038" s="5">
        <f t="shared" si="3"/>
        <v>-0.008953042207</v>
      </c>
      <c r="M1038" s="5">
        <f t="shared" si="4"/>
        <v>-0.004776958202</v>
      </c>
      <c r="Q1038" s="5"/>
    </row>
    <row r="1039">
      <c r="A1039" s="4">
        <f>IFERROR(__xludf.DUMMYFUNCTION("""COMPUTED_VALUE"""),45791.66666666667)</f>
        <v>45791.66667</v>
      </c>
      <c r="B1039" s="1">
        <f>IFERROR(__xludf.DUMMYFUNCTION("""COMPUTED_VALUE"""),212.33)</f>
        <v>212.33</v>
      </c>
      <c r="C1039" s="4">
        <f>IFERROR(__xludf.DUMMYFUNCTION("""COMPUTED_VALUE"""),45791.66666666667)</f>
        <v>45791.66667</v>
      </c>
      <c r="D1039" s="1">
        <f>IFERROR(__xludf.DUMMYFUNCTION("""COMPUTED_VALUE"""),452.94)</f>
        <v>452.94</v>
      </c>
      <c r="E1039" s="4">
        <f>IFERROR(__xludf.DUMMYFUNCTION("""COMPUTED_VALUE"""),45791.66666666667)</f>
        <v>45791.66667</v>
      </c>
      <c r="F1039" s="1">
        <f>IFERROR(__xludf.DUMMYFUNCTION("""COMPUTED_VALUE"""),108.48)</f>
        <v>108.48</v>
      </c>
      <c r="G1039" s="4">
        <f>IFERROR(__xludf.DUMMYFUNCTION("""COMPUTED_VALUE"""),45791.66666666667)</f>
        <v>45791.66667</v>
      </c>
      <c r="H1039" s="1">
        <f>IFERROR(__xludf.DUMMYFUNCTION("""COMPUTED_VALUE"""),141.67)</f>
        <v>141.67</v>
      </c>
      <c r="I1039" s="5">
        <f t="shared" si="1"/>
        <v>-0.004144492064</v>
      </c>
      <c r="K1039" s="5">
        <f t="shared" si="2"/>
        <v>0.000419481609</v>
      </c>
      <c r="L1039" s="5">
        <f t="shared" si="3"/>
        <v>0.0009218289086</v>
      </c>
      <c r="M1039" s="5">
        <f t="shared" si="4"/>
        <v>0.004164607892</v>
      </c>
      <c r="Q1039" s="5"/>
    </row>
    <row r="1040">
      <c r="A1040" s="4">
        <f>IFERROR(__xludf.DUMMYFUNCTION("""COMPUTED_VALUE"""),45792.66666666667)</f>
        <v>45792.66667</v>
      </c>
      <c r="B1040" s="1">
        <f>IFERROR(__xludf.DUMMYFUNCTION("""COMPUTED_VALUE"""),211.45)</f>
        <v>211.45</v>
      </c>
      <c r="C1040" s="4">
        <f>IFERROR(__xludf.DUMMYFUNCTION("""COMPUTED_VALUE"""),45792.66666666667)</f>
        <v>45792.66667</v>
      </c>
      <c r="D1040" s="1">
        <f>IFERROR(__xludf.DUMMYFUNCTION("""COMPUTED_VALUE"""),453.13)</f>
        <v>453.13</v>
      </c>
      <c r="E1040" s="4">
        <f>IFERROR(__xludf.DUMMYFUNCTION("""COMPUTED_VALUE"""),45792.66666666667)</f>
        <v>45792.66667</v>
      </c>
      <c r="F1040" s="1">
        <f>IFERROR(__xludf.DUMMYFUNCTION("""COMPUTED_VALUE"""),108.58)</f>
        <v>108.58</v>
      </c>
      <c r="G1040" s="4">
        <f>IFERROR(__xludf.DUMMYFUNCTION("""COMPUTED_VALUE"""),45792.66666666667)</f>
        <v>45792.66667</v>
      </c>
      <c r="H1040" s="1">
        <f>IFERROR(__xludf.DUMMYFUNCTION("""COMPUTED_VALUE"""),142.26)</f>
        <v>142.26</v>
      </c>
      <c r="I1040" s="5">
        <f t="shared" si="1"/>
        <v>-0.0008985575786</v>
      </c>
      <c r="K1040" s="5">
        <f t="shared" si="2"/>
        <v>0.002515834308</v>
      </c>
      <c r="L1040" s="5">
        <f t="shared" si="3"/>
        <v>-0.003591821698</v>
      </c>
      <c r="M1040" s="5">
        <f t="shared" si="4"/>
        <v>-0.001124701251</v>
      </c>
      <c r="Q1040" s="5"/>
    </row>
    <row r="1041">
      <c r="A1041" s="4">
        <f>IFERROR(__xludf.DUMMYFUNCTION("""COMPUTED_VALUE"""),45793.66666666667)</f>
        <v>45793.66667</v>
      </c>
      <c r="B1041" s="1">
        <f>IFERROR(__xludf.DUMMYFUNCTION("""COMPUTED_VALUE"""),211.26)</f>
        <v>211.26</v>
      </c>
      <c r="C1041" s="4">
        <f>IFERROR(__xludf.DUMMYFUNCTION("""COMPUTED_VALUE"""),45793.66666666667)</f>
        <v>45793.66667</v>
      </c>
      <c r="D1041" s="1">
        <f>IFERROR(__xludf.DUMMYFUNCTION("""COMPUTED_VALUE"""),454.27)</f>
        <v>454.27</v>
      </c>
      <c r="E1041" s="4">
        <f>IFERROR(__xludf.DUMMYFUNCTION("""COMPUTED_VALUE"""),45793.66666666667)</f>
        <v>45793.66667</v>
      </c>
      <c r="F1041" s="1">
        <f>IFERROR(__xludf.DUMMYFUNCTION("""COMPUTED_VALUE"""),108.19)</f>
        <v>108.19</v>
      </c>
      <c r="G1041" s="4">
        <f>IFERROR(__xludf.DUMMYFUNCTION("""COMPUTED_VALUE"""),45793.66666666667)</f>
        <v>45793.66667</v>
      </c>
      <c r="H1041" s="1">
        <f>IFERROR(__xludf.DUMMYFUNCTION("""COMPUTED_VALUE"""),142.1)</f>
        <v>142.1</v>
      </c>
      <c r="I1041" s="5">
        <f t="shared" si="1"/>
        <v>-0.01173908927</v>
      </c>
      <c r="K1041" s="5">
        <f t="shared" si="2"/>
        <v>0.01012613644</v>
      </c>
      <c r="L1041" s="5">
        <f t="shared" si="3"/>
        <v>-0.0158979573</v>
      </c>
      <c r="M1041" s="5">
        <f t="shared" si="4"/>
        <v>-0.02540464462</v>
      </c>
      <c r="Q1041" s="5"/>
    </row>
    <row r="1042">
      <c r="A1042" s="4">
        <f>IFERROR(__xludf.DUMMYFUNCTION("""COMPUTED_VALUE"""),45796.66666666667)</f>
        <v>45796.66667</v>
      </c>
      <c r="B1042" s="1">
        <f>IFERROR(__xludf.DUMMYFUNCTION("""COMPUTED_VALUE"""),208.78)</f>
        <v>208.78</v>
      </c>
      <c r="C1042" s="4">
        <f>IFERROR(__xludf.DUMMYFUNCTION("""COMPUTED_VALUE"""),45796.66666666667)</f>
        <v>45796.66667</v>
      </c>
      <c r="D1042" s="1">
        <f>IFERROR(__xludf.DUMMYFUNCTION("""COMPUTED_VALUE"""),458.87)</f>
        <v>458.87</v>
      </c>
      <c r="E1042" s="4">
        <f>IFERROR(__xludf.DUMMYFUNCTION("""COMPUTED_VALUE"""),45796.66666666667)</f>
        <v>45796.66667</v>
      </c>
      <c r="F1042" s="1">
        <f>IFERROR(__xludf.DUMMYFUNCTION("""COMPUTED_VALUE"""),106.47)</f>
        <v>106.47</v>
      </c>
      <c r="G1042" s="4">
        <f>IFERROR(__xludf.DUMMYFUNCTION("""COMPUTED_VALUE"""),45796.66666666667)</f>
        <v>45796.66667</v>
      </c>
      <c r="H1042" s="1">
        <f>IFERROR(__xludf.DUMMYFUNCTION("""COMPUTED_VALUE"""),138.49)</f>
        <v>138.49</v>
      </c>
      <c r="I1042" s="5">
        <f t="shared" si="1"/>
        <v>-0.009196283169</v>
      </c>
      <c r="K1042" s="5">
        <f t="shared" si="2"/>
        <v>-0.001525486521</v>
      </c>
      <c r="L1042" s="5">
        <f t="shared" si="3"/>
        <v>-0.01427632197</v>
      </c>
      <c r="M1042" s="5">
        <f t="shared" si="4"/>
        <v>-0.00880930031</v>
      </c>
      <c r="Q1042" s="5"/>
    </row>
    <row r="1043">
      <c r="A1043" s="4">
        <f>IFERROR(__xludf.DUMMYFUNCTION("""COMPUTED_VALUE"""),45797.66666666667)</f>
        <v>45797.66667</v>
      </c>
      <c r="B1043" s="1">
        <f>IFERROR(__xludf.DUMMYFUNCTION("""COMPUTED_VALUE"""),206.86)</f>
        <v>206.86</v>
      </c>
      <c r="C1043" s="4">
        <f>IFERROR(__xludf.DUMMYFUNCTION("""COMPUTED_VALUE"""),45797.66666666667)</f>
        <v>45797.66667</v>
      </c>
      <c r="D1043" s="1">
        <f>IFERROR(__xludf.DUMMYFUNCTION("""COMPUTED_VALUE"""),458.17)</f>
        <v>458.17</v>
      </c>
      <c r="E1043" s="4">
        <f>IFERROR(__xludf.DUMMYFUNCTION("""COMPUTED_VALUE"""),45797.66666666667)</f>
        <v>45797.66667</v>
      </c>
      <c r="F1043" s="1">
        <f>IFERROR(__xludf.DUMMYFUNCTION("""COMPUTED_VALUE"""),104.95)</f>
        <v>104.95</v>
      </c>
      <c r="G1043" s="4">
        <f>IFERROR(__xludf.DUMMYFUNCTION("""COMPUTED_VALUE"""),45797.66666666667)</f>
        <v>45797.66667</v>
      </c>
      <c r="H1043" s="1">
        <f>IFERROR(__xludf.DUMMYFUNCTION("""COMPUTED_VALUE"""),137.27)</f>
        <v>137.27</v>
      </c>
      <c r="I1043" s="5">
        <f t="shared" si="1"/>
        <v>-0.02305907377</v>
      </c>
      <c r="K1043" s="5">
        <f t="shared" si="2"/>
        <v>-0.01222253749</v>
      </c>
      <c r="L1043" s="5">
        <f t="shared" si="3"/>
        <v>-0.01229156741</v>
      </c>
      <c r="M1043" s="5">
        <f t="shared" si="4"/>
        <v>-0.01245720114</v>
      </c>
      <c r="Q1043" s="5"/>
    </row>
    <row r="1044">
      <c r="A1044" s="4">
        <f>IFERROR(__xludf.DUMMYFUNCTION("""COMPUTED_VALUE"""),45798.66666666667)</f>
        <v>45798.66667</v>
      </c>
      <c r="B1044" s="1">
        <f>IFERROR(__xludf.DUMMYFUNCTION("""COMPUTED_VALUE"""),202.09)</f>
        <v>202.09</v>
      </c>
      <c r="C1044" s="4">
        <f>IFERROR(__xludf.DUMMYFUNCTION("""COMPUTED_VALUE"""),45798.66666666667)</f>
        <v>45798.66667</v>
      </c>
      <c r="D1044" s="1">
        <f>IFERROR(__xludf.DUMMYFUNCTION("""COMPUTED_VALUE"""),452.57)</f>
        <v>452.57</v>
      </c>
      <c r="E1044" s="4">
        <f>IFERROR(__xludf.DUMMYFUNCTION("""COMPUTED_VALUE"""),45798.66666666667)</f>
        <v>45798.66667</v>
      </c>
      <c r="F1044" s="1">
        <f>IFERROR(__xludf.DUMMYFUNCTION("""COMPUTED_VALUE"""),103.66)</f>
        <v>103.66</v>
      </c>
      <c r="G1044" s="4">
        <f>IFERROR(__xludf.DUMMYFUNCTION("""COMPUTED_VALUE"""),45798.66666666667)</f>
        <v>45798.66667</v>
      </c>
      <c r="H1044" s="1">
        <f>IFERROR(__xludf.DUMMYFUNCTION("""COMPUTED_VALUE"""),135.56)</f>
        <v>135.56</v>
      </c>
      <c r="I1044" s="5">
        <f t="shared" si="1"/>
        <v>0</v>
      </c>
      <c r="K1044" s="5">
        <f t="shared" si="2"/>
        <v>0.00505999072</v>
      </c>
      <c r="L1044" s="5">
        <f t="shared" si="3"/>
        <v>0</v>
      </c>
      <c r="M1044" s="5">
        <f t="shared" si="4"/>
        <v>0</v>
      </c>
      <c r="Q1044" s="5"/>
    </row>
    <row r="1045">
      <c r="A1045" s="4">
        <f>IFERROR(__xludf.DUMMYFUNCTION("""COMPUTED_VALUE"""),45799.66666666667)</f>
        <v>45799.66667</v>
      </c>
      <c r="B1045" s="1">
        <f>IFERROR(__xludf.DUMMYFUNCTION("""COMPUTED_VALUE"""),202.09)</f>
        <v>202.09</v>
      </c>
      <c r="C1045" s="4">
        <f>IFERROR(__xludf.DUMMYFUNCTION("""COMPUTED_VALUE"""),45799.66666666667)</f>
        <v>45799.66667</v>
      </c>
      <c r="D1045" s="1">
        <f>IFERROR(__xludf.DUMMYFUNCTION("""COMPUTED_VALUE"""),454.86)</f>
        <v>454.86</v>
      </c>
      <c r="E1045" s="4">
        <f>IFERROR(__xludf.DUMMYFUNCTION("""COMPUTED_VALUE"""),45799.66666666667)</f>
        <v>45799.66667</v>
      </c>
      <c r="F1045" s="1">
        <f>IFERROR(__xludf.DUMMYFUNCTION("""COMPUTED_VALUE"""),103.66)</f>
        <v>103.66</v>
      </c>
      <c r="G1045" s="4">
        <f>IFERROR(__xludf.DUMMYFUNCTION("""COMPUTED_VALUE"""),45799.66666666667)</f>
        <v>45799.66667</v>
      </c>
      <c r="H1045" s="1">
        <f>IFERROR(__xludf.DUMMYFUNCTION("""COMPUTED_VALUE"""),135.56)</f>
        <v>135.56</v>
      </c>
      <c r="I1045" s="5">
        <f t="shared" si="1"/>
        <v>-0.03374734029</v>
      </c>
      <c r="K1045" s="5">
        <f t="shared" si="2"/>
        <v>-0.01028888009</v>
      </c>
      <c r="L1045" s="5">
        <f t="shared" si="3"/>
        <v>-0.006077561258</v>
      </c>
      <c r="M1045" s="5">
        <f t="shared" si="4"/>
        <v>0.007229271171</v>
      </c>
      <c r="Q1045" s="5"/>
    </row>
    <row r="1046">
      <c r="A1046" s="4">
        <f>IFERROR(__xludf.DUMMYFUNCTION("""COMPUTED_VALUE"""),45800.66666666667)</f>
        <v>45800.66667</v>
      </c>
      <c r="B1046" s="1">
        <f>IFERROR(__xludf.DUMMYFUNCTION("""COMPUTED_VALUE"""),195.27)</f>
        <v>195.27</v>
      </c>
      <c r="C1046" s="4">
        <f>IFERROR(__xludf.DUMMYFUNCTION("""COMPUTED_VALUE"""),45800.66666666667)</f>
        <v>45800.66667</v>
      </c>
      <c r="D1046" s="1">
        <f>IFERROR(__xludf.DUMMYFUNCTION("""COMPUTED_VALUE"""),450.18)</f>
        <v>450.18</v>
      </c>
      <c r="E1046" s="4">
        <f>IFERROR(__xludf.DUMMYFUNCTION("""COMPUTED_VALUE"""),45800.66666666667)</f>
        <v>45800.66667</v>
      </c>
      <c r="F1046" s="1">
        <f>IFERROR(__xludf.DUMMYFUNCTION("""COMPUTED_VALUE"""),103.03)</f>
        <v>103.03</v>
      </c>
      <c r="G1046" s="4">
        <f>IFERROR(__xludf.DUMMYFUNCTION("""COMPUTED_VALUE"""),45800.66666666667)</f>
        <v>45800.66667</v>
      </c>
      <c r="H1046" s="1">
        <f>IFERROR(__xludf.DUMMYFUNCTION("""COMPUTED_VALUE"""),136.54)</f>
        <v>136.54</v>
      </c>
      <c r="I1046" s="5">
        <f t="shared" si="1"/>
        <v>0.02529830491</v>
      </c>
      <c r="K1046" s="5">
        <f t="shared" si="2"/>
        <v>0.02334621707</v>
      </c>
      <c r="L1046" s="5">
        <f t="shared" si="3"/>
        <v>0.004755896341</v>
      </c>
      <c r="M1046" s="5">
        <f t="shared" si="4"/>
        <v>0.00944778087</v>
      </c>
      <c r="Q1046" s="5"/>
    </row>
    <row r="1047">
      <c r="A1047" s="4">
        <f>IFERROR(__xludf.DUMMYFUNCTION("""COMPUTED_VALUE"""),45804.66666666667)</f>
        <v>45804.66667</v>
      </c>
      <c r="B1047" s="1">
        <f>IFERROR(__xludf.DUMMYFUNCTION("""COMPUTED_VALUE"""),200.21)</f>
        <v>200.21</v>
      </c>
      <c r="C1047" s="4">
        <f>IFERROR(__xludf.DUMMYFUNCTION("""COMPUTED_VALUE"""),45804.66666666667)</f>
        <v>45804.66667</v>
      </c>
      <c r="D1047" s="1">
        <f>IFERROR(__xludf.DUMMYFUNCTION("""COMPUTED_VALUE"""),460.69)</f>
        <v>460.69</v>
      </c>
      <c r="E1047" s="4">
        <f>IFERROR(__xludf.DUMMYFUNCTION("""COMPUTED_VALUE"""),45804.66666666667)</f>
        <v>45804.66667</v>
      </c>
      <c r="F1047" s="1">
        <f>IFERROR(__xludf.DUMMYFUNCTION("""COMPUTED_VALUE"""),103.52)</f>
        <v>103.52</v>
      </c>
      <c r="G1047" s="4">
        <f>IFERROR(__xludf.DUMMYFUNCTION("""COMPUTED_VALUE"""),45804.66666666667)</f>
        <v>45804.66667</v>
      </c>
      <c r="H1047" s="1">
        <f>IFERROR(__xludf.DUMMYFUNCTION("""COMPUTED_VALUE"""),137.83)</f>
        <v>137.83</v>
      </c>
      <c r="I1047" s="5">
        <f t="shared" si="1"/>
        <v>0.001048898656</v>
      </c>
      <c r="K1047" s="5">
        <f t="shared" si="2"/>
        <v>-0.007228288003</v>
      </c>
      <c r="L1047" s="5">
        <f t="shared" si="3"/>
        <v>-0.01362055641</v>
      </c>
      <c r="M1047" s="5">
        <f t="shared" si="4"/>
        <v>-0.01313211928</v>
      </c>
      <c r="Q1047" s="5"/>
    </row>
    <row r="1048">
      <c r="A1048" s="4">
        <f>IFERROR(__xludf.DUMMYFUNCTION("""COMPUTED_VALUE"""),45805.66666666667)</f>
        <v>45805.66667</v>
      </c>
      <c r="B1048" s="1">
        <f>IFERROR(__xludf.DUMMYFUNCTION("""COMPUTED_VALUE"""),200.42)</f>
        <v>200.42</v>
      </c>
      <c r="C1048" s="4">
        <f>IFERROR(__xludf.DUMMYFUNCTION("""COMPUTED_VALUE"""),45805.66666666667)</f>
        <v>45805.66667</v>
      </c>
      <c r="D1048" s="1">
        <f>IFERROR(__xludf.DUMMYFUNCTION("""COMPUTED_VALUE"""),457.36)</f>
        <v>457.36</v>
      </c>
      <c r="E1048" s="4">
        <f>IFERROR(__xludf.DUMMYFUNCTION("""COMPUTED_VALUE"""),45805.66666666667)</f>
        <v>45805.66667</v>
      </c>
      <c r="F1048" s="1">
        <f>IFERROR(__xludf.DUMMYFUNCTION("""COMPUTED_VALUE"""),102.11)</f>
        <v>102.11</v>
      </c>
      <c r="G1048" s="4">
        <f>IFERROR(__xludf.DUMMYFUNCTION("""COMPUTED_VALUE"""),45805.66666666667)</f>
        <v>45805.66667</v>
      </c>
      <c r="H1048" s="1">
        <f>IFERROR(__xludf.DUMMYFUNCTION("""COMPUTED_VALUE"""),136.02)</f>
        <v>136.02</v>
      </c>
      <c r="I1048" s="5">
        <f t="shared" si="1"/>
        <v>-0.002345075342</v>
      </c>
      <c r="K1048" s="5">
        <f t="shared" si="2"/>
        <v>0.002886129089</v>
      </c>
      <c r="L1048" s="5">
        <f t="shared" si="3"/>
        <v>0.005680148859</v>
      </c>
      <c r="M1048" s="5">
        <f t="shared" si="4"/>
        <v>0.01389501544</v>
      </c>
      <c r="Q1048" s="5"/>
    </row>
    <row r="1049">
      <c r="A1049" s="4">
        <f>IFERROR(__xludf.DUMMYFUNCTION("""COMPUTED_VALUE"""),45806.66666666667)</f>
        <v>45806.66667</v>
      </c>
      <c r="B1049" s="1">
        <f>IFERROR(__xludf.DUMMYFUNCTION("""COMPUTED_VALUE"""),199.95)</f>
        <v>199.95</v>
      </c>
      <c r="C1049" s="4">
        <f>IFERROR(__xludf.DUMMYFUNCTION("""COMPUTED_VALUE"""),45806.66666666667)</f>
        <v>45806.66667</v>
      </c>
      <c r="D1049" s="1">
        <f>IFERROR(__xludf.DUMMYFUNCTION("""COMPUTED_VALUE"""),458.68)</f>
        <v>458.68</v>
      </c>
      <c r="E1049" s="4">
        <f>IFERROR(__xludf.DUMMYFUNCTION("""COMPUTED_VALUE"""),45806.66666666667)</f>
        <v>45806.66667</v>
      </c>
      <c r="F1049" s="1">
        <f>IFERROR(__xludf.DUMMYFUNCTION("""COMPUTED_VALUE"""),102.69)</f>
        <v>102.69</v>
      </c>
      <c r="G1049" s="4">
        <f>IFERROR(__xludf.DUMMYFUNCTION("""COMPUTED_VALUE"""),45806.66666666667)</f>
        <v>45806.66667</v>
      </c>
      <c r="H1049" s="1">
        <f>IFERROR(__xludf.DUMMYFUNCTION("""COMPUTED_VALUE"""),137.91)</f>
        <v>137.91</v>
      </c>
      <c r="I1049" s="5">
        <f t="shared" si="1"/>
        <v>0.004501125281</v>
      </c>
      <c r="K1049" s="5">
        <f t="shared" si="2"/>
        <v>0.003662684224</v>
      </c>
      <c r="L1049" s="5">
        <f t="shared" si="3"/>
        <v>-0.003797838154</v>
      </c>
      <c r="M1049" s="5">
        <f t="shared" si="4"/>
        <v>-0.00877383801</v>
      </c>
      <c r="Q1049" s="5"/>
    </row>
    <row r="1050">
      <c r="A1050" s="4">
        <f>IFERROR(__xludf.DUMMYFUNCTION("""COMPUTED_VALUE"""),45807.66666666667)</f>
        <v>45807.66667</v>
      </c>
      <c r="B1050" s="1">
        <f>IFERROR(__xludf.DUMMYFUNCTION("""COMPUTED_VALUE"""),200.85)</f>
        <v>200.85</v>
      </c>
      <c r="C1050" s="4">
        <f>IFERROR(__xludf.DUMMYFUNCTION("""COMPUTED_VALUE"""),45807.66666666667)</f>
        <v>45807.66667</v>
      </c>
      <c r="D1050" s="1">
        <f>IFERROR(__xludf.DUMMYFUNCTION("""COMPUTED_VALUE"""),460.36)</f>
        <v>460.36</v>
      </c>
      <c r="E1050" s="4">
        <f>IFERROR(__xludf.DUMMYFUNCTION("""COMPUTED_VALUE"""),45807.66666666667)</f>
        <v>45807.66667</v>
      </c>
      <c r="F1050" s="1">
        <f>IFERROR(__xludf.DUMMYFUNCTION("""COMPUTED_VALUE"""),102.3)</f>
        <v>102.3</v>
      </c>
      <c r="G1050" s="4">
        <f>IFERROR(__xludf.DUMMYFUNCTION("""COMPUTED_VALUE"""),45807.66666666667)</f>
        <v>45807.66667</v>
      </c>
      <c r="H1050" s="1">
        <f>IFERROR(__xludf.DUMMYFUNCTION("""COMPUTED_VALUE"""),136.7)</f>
        <v>136.7</v>
      </c>
      <c r="I1050" s="5">
        <f t="shared" si="1"/>
        <v>0.004232013941</v>
      </c>
      <c r="K1050" s="5">
        <f t="shared" si="2"/>
        <v>0.003497263012</v>
      </c>
      <c r="L1050" s="5">
        <f t="shared" si="3"/>
        <v>0.007331378299</v>
      </c>
      <c r="M1050" s="5">
        <f t="shared" si="4"/>
        <v>0.008339429407</v>
      </c>
      <c r="Q1050" s="5"/>
    </row>
    <row r="1051">
      <c r="A1051" s="4">
        <f>IFERROR(__xludf.DUMMYFUNCTION("""COMPUTED_VALUE"""),45810.66666666667)</f>
        <v>45810.66667</v>
      </c>
      <c r="B1051" s="1">
        <f>IFERROR(__xludf.DUMMYFUNCTION("""COMPUTED_VALUE"""),201.7)</f>
        <v>201.7</v>
      </c>
      <c r="C1051" s="4">
        <f>IFERROR(__xludf.DUMMYFUNCTION("""COMPUTED_VALUE"""),45810.66666666667)</f>
        <v>45810.66667</v>
      </c>
      <c r="D1051" s="1">
        <f>IFERROR(__xludf.DUMMYFUNCTION("""COMPUTED_VALUE"""),461.97)</f>
        <v>461.97</v>
      </c>
      <c r="E1051" s="4">
        <f>IFERROR(__xludf.DUMMYFUNCTION("""COMPUTED_VALUE"""),45810.66666666667)</f>
        <v>45810.66667</v>
      </c>
      <c r="F1051" s="1">
        <f>IFERROR(__xludf.DUMMYFUNCTION("""COMPUTED_VALUE"""),103.05)</f>
        <v>103.05</v>
      </c>
      <c r="G1051" s="4">
        <f>IFERROR(__xludf.DUMMYFUNCTION("""COMPUTED_VALUE"""),45810.66666666667)</f>
        <v>45810.66667</v>
      </c>
      <c r="H1051" s="1">
        <f>IFERROR(__xludf.DUMMYFUNCTION("""COMPUTED_VALUE"""),137.84)</f>
        <v>137.84</v>
      </c>
      <c r="I1051" s="5">
        <f t="shared" si="1"/>
        <v>0.007783837382</v>
      </c>
      <c r="K1051" s="5">
        <f t="shared" si="2"/>
        <v>0.002164642726</v>
      </c>
      <c r="L1051" s="5">
        <f t="shared" si="3"/>
        <v>0.007278020378</v>
      </c>
      <c r="M1051" s="5">
        <f t="shared" si="4"/>
        <v>0.01240568775</v>
      </c>
      <c r="Q1051" s="5"/>
    </row>
    <row r="1052">
      <c r="A1052" s="4">
        <f>IFERROR(__xludf.DUMMYFUNCTION("""COMPUTED_VALUE"""),45811.66666666667)</f>
        <v>45811.66667</v>
      </c>
      <c r="B1052" s="1">
        <f>IFERROR(__xludf.DUMMYFUNCTION("""COMPUTED_VALUE"""),203.27)</f>
        <v>203.27</v>
      </c>
      <c r="C1052" s="4">
        <f>IFERROR(__xludf.DUMMYFUNCTION("""COMPUTED_VALUE"""),45811.66666666667)</f>
        <v>45811.66667</v>
      </c>
      <c r="D1052" s="1">
        <f>IFERROR(__xludf.DUMMYFUNCTION("""COMPUTED_VALUE"""),462.97)</f>
        <v>462.97</v>
      </c>
      <c r="E1052" s="4">
        <f>IFERROR(__xludf.DUMMYFUNCTION("""COMPUTED_VALUE"""),45811.66666666667)</f>
        <v>45811.66667</v>
      </c>
      <c r="F1052" s="1">
        <f>IFERROR(__xludf.DUMMYFUNCTION("""COMPUTED_VALUE"""),103.8)</f>
        <v>103.8</v>
      </c>
      <c r="G1052" s="4">
        <f>IFERROR(__xludf.DUMMYFUNCTION("""COMPUTED_VALUE"""),45811.66666666667)</f>
        <v>45811.66667</v>
      </c>
      <c r="H1052" s="1">
        <f>IFERROR(__xludf.DUMMYFUNCTION("""COMPUTED_VALUE"""),139.55)</f>
        <v>139.55</v>
      </c>
      <c r="I1052" s="5">
        <f t="shared" si="1"/>
        <v>-0.0022138043</v>
      </c>
      <c r="K1052" s="5">
        <f t="shared" si="2"/>
        <v>0.001943970452</v>
      </c>
      <c r="L1052" s="5">
        <f t="shared" si="3"/>
        <v>-0.01445086705</v>
      </c>
      <c r="M1052" s="5">
        <f t="shared" si="4"/>
        <v>-0.01562164099</v>
      </c>
      <c r="Q1052" s="5"/>
    </row>
    <row r="1053">
      <c r="A1053" s="4">
        <f>IFERROR(__xludf.DUMMYFUNCTION("""COMPUTED_VALUE"""),45812.66666666667)</f>
        <v>45812.66667</v>
      </c>
      <c r="B1053" s="1">
        <f>IFERROR(__xludf.DUMMYFUNCTION("""COMPUTED_VALUE"""),202.82)</f>
        <v>202.82</v>
      </c>
      <c r="C1053" s="4">
        <f>IFERROR(__xludf.DUMMYFUNCTION("""COMPUTED_VALUE"""),45812.66666666667)</f>
        <v>45812.66667</v>
      </c>
      <c r="D1053" s="1">
        <f>IFERROR(__xludf.DUMMYFUNCTION("""COMPUTED_VALUE"""),463.87)</f>
        <v>463.87</v>
      </c>
      <c r="E1053" s="4">
        <f>IFERROR(__xludf.DUMMYFUNCTION("""COMPUTED_VALUE"""),45812.66666666667)</f>
        <v>45812.66667</v>
      </c>
      <c r="F1053" s="1">
        <f>IFERROR(__xludf.DUMMYFUNCTION("""COMPUTED_VALUE"""),102.3)</f>
        <v>102.3</v>
      </c>
      <c r="G1053" s="4">
        <f>IFERROR(__xludf.DUMMYFUNCTION("""COMPUTED_VALUE"""),45812.66666666667)</f>
        <v>45812.66667</v>
      </c>
      <c r="H1053" s="1">
        <f>IFERROR(__xludf.DUMMYFUNCTION("""COMPUTED_VALUE"""),137.37)</f>
        <v>137.37</v>
      </c>
      <c r="I1053" s="5">
        <f t="shared" si="1"/>
        <v>-0.0107977517</v>
      </c>
      <c r="K1053" s="5">
        <f t="shared" si="2"/>
        <v>0.008213508095</v>
      </c>
      <c r="L1053" s="5">
        <f t="shared" si="3"/>
        <v>-0.004594330401</v>
      </c>
      <c r="M1053" s="5">
        <f t="shared" si="4"/>
        <v>-0.003421416612</v>
      </c>
      <c r="Q1053" s="5"/>
    </row>
    <row r="1054">
      <c r="A1054" s="4">
        <f>IFERROR(__xludf.DUMMYFUNCTION("""COMPUTED_VALUE"""),45813.66666666667)</f>
        <v>45813.66667</v>
      </c>
      <c r="B1054" s="1">
        <f>IFERROR(__xludf.DUMMYFUNCTION("""COMPUTED_VALUE"""),200.63)</f>
        <v>200.63</v>
      </c>
      <c r="C1054" s="4">
        <f>IFERROR(__xludf.DUMMYFUNCTION("""COMPUTED_VALUE"""),45813.66666666667)</f>
        <v>45813.66667</v>
      </c>
      <c r="D1054" s="1">
        <f>IFERROR(__xludf.DUMMYFUNCTION("""COMPUTED_VALUE"""),467.68)</f>
        <v>467.68</v>
      </c>
      <c r="E1054" s="4">
        <f>IFERROR(__xludf.DUMMYFUNCTION("""COMPUTED_VALUE"""),45813.66666666667)</f>
        <v>45813.66667</v>
      </c>
      <c r="F1054" s="1">
        <f>IFERROR(__xludf.DUMMYFUNCTION("""COMPUTED_VALUE"""),101.83)</f>
        <v>101.83</v>
      </c>
      <c r="G1054" s="4">
        <f>IFERROR(__xludf.DUMMYFUNCTION("""COMPUTED_VALUE"""),45813.66666666667)</f>
        <v>45813.66667</v>
      </c>
      <c r="H1054" s="1">
        <f>IFERROR(__xludf.DUMMYFUNCTION("""COMPUTED_VALUE"""),136.9)</f>
        <v>136.9</v>
      </c>
      <c r="I1054" s="5">
        <f t="shared" si="1"/>
        <v>0.01639834521</v>
      </c>
      <c r="K1054" s="5">
        <f t="shared" si="2"/>
        <v>0.005773178242</v>
      </c>
      <c r="L1054" s="5">
        <f t="shared" si="3"/>
        <v>0.02396150447</v>
      </c>
      <c r="M1054" s="5">
        <f t="shared" si="4"/>
        <v>0.02417823229</v>
      </c>
      <c r="Q1054" s="5"/>
    </row>
    <row r="1055">
      <c r="A1055" s="4">
        <f>IFERROR(__xludf.DUMMYFUNCTION("""COMPUTED_VALUE"""),45814.66666666667)</f>
        <v>45814.66667</v>
      </c>
      <c r="B1055" s="1">
        <f>IFERROR(__xludf.DUMMYFUNCTION("""COMPUTED_VALUE"""),203.92)</f>
        <v>203.92</v>
      </c>
      <c r="C1055" s="4">
        <f>IFERROR(__xludf.DUMMYFUNCTION("""COMPUTED_VALUE"""),45814.66666666667)</f>
        <v>45814.66667</v>
      </c>
      <c r="D1055" s="1">
        <f>IFERROR(__xludf.DUMMYFUNCTION("""COMPUTED_VALUE"""),470.38)</f>
        <v>470.38</v>
      </c>
      <c r="E1055" s="4">
        <f>IFERROR(__xludf.DUMMYFUNCTION("""COMPUTED_VALUE"""),45814.66666666667)</f>
        <v>45814.66667</v>
      </c>
      <c r="F1055" s="1">
        <f>IFERROR(__xludf.DUMMYFUNCTION("""COMPUTED_VALUE"""),104.27)</f>
        <v>104.27</v>
      </c>
      <c r="G1055" s="4">
        <f>IFERROR(__xludf.DUMMYFUNCTION("""COMPUTED_VALUE"""),45814.66666666667)</f>
        <v>45814.66667</v>
      </c>
      <c r="H1055" s="1">
        <f>IFERROR(__xludf.DUMMYFUNCTION("""COMPUTED_VALUE"""),140.21)</f>
        <v>140.21</v>
      </c>
      <c r="I1055" s="5">
        <f t="shared" si="1"/>
        <v>-0.01211259317</v>
      </c>
      <c r="K1055" s="5">
        <f t="shared" si="2"/>
        <v>0.005038479527</v>
      </c>
      <c r="L1055" s="5">
        <f t="shared" si="3"/>
        <v>0.006713340366</v>
      </c>
      <c r="M1055" s="5">
        <f t="shared" si="4"/>
        <v>0.003922687397</v>
      </c>
      <c r="Q1055" s="5"/>
    </row>
    <row r="1056">
      <c r="A1056" s="4">
        <f>IFERROR(__xludf.DUMMYFUNCTION("""COMPUTED_VALUE"""),45817.66666666667)</f>
        <v>45817.66667</v>
      </c>
      <c r="B1056" s="1">
        <f>IFERROR(__xludf.DUMMYFUNCTION("""COMPUTED_VALUE"""),201.45)</f>
        <v>201.45</v>
      </c>
      <c r="C1056" s="4">
        <f>IFERROR(__xludf.DUMMYFUNCTION("""COMPUTED_VALUE"""),45817.66666666667)</f>
        <v>45817.66667</v>
      </c>
      <c r="D1056" s="1">
        <f>IFERROR(__xludf.DUMMYFUNCTION("""COMPUTED_VALUE"""),472.75)</f>
        <v>472.75</v>
      </c>
      <c r="E1056" s="4">
        <f>IFERROR(__xludf.DUMMYFUNCTION("""COMPUTED_VALUE"""),45817.66666666667)</f>
        <v>45817.66667</v>
      </c>
      <c r="F1056" s="1">
        <f>IFERROR(__xludf.DUMMYFUNCTION("""COMPUTED_VALUE"""),104.97)</f>
        <v>104.97</v>
      </c>
      <c r="G1056" s="4">
        <f>IFERROR(__xludf.DUMMYFUNCTION("""COMPUTED_VALUE"""),45817.66666666667)</f>
        <v>45817.66667</v>
      </c>
      <c r="H1056" s="1">
        <f>IFERROR(__xludf.DUMMYFUNCTION("""COMPUTED_VALUE"""),140.76)</f>
        <v>140.76</v>
      </c>
      <c r="I1056" s="5">
        <f t="shared" si="1"/>
        <v>0.006056093323</v>
      </c>
      <c r="K1056" s="5">
        <f t="shared" si="2"/>
        <v>-0.003870967742</v>
      </c>
      <c r="L1056" s="5">
        <f t="shared" si="3"/>
        <v>0.02143469563</v>
      </c>
      <c r="M1056" s="5">
        <f t="shared" si="4"/>
        <v>0.01840011367</v>
      </c>
      <c r="Q1056" s="5"/>
    </row>
    <row r="1057">
      <c r="A1057" s="4">
        <f>IFERROR(__xludf.DUMMYFUNCTION("""COMPUTED_VALUE"""),45818.66666666667)</f>
        <v>45818.66667</v>
      </c>
      <c r="B1057" s="1">
        <f>IFERROR(__xludf.DUMMYFUNCTION("""COMPUTED_VALUE"""),202.67)</f>
        <v>202.67</v>
      </c>
      <c r="C1057" s="4">
        <f>IFERROR(__xludf.DUMMYFUNCTION("""COMPUTED_VALUE"""),45818.66666666667)</f>
        <v>45818.66667</v>
      </c>
      <c r="D1057" s="1">
        <f>IFERROR(__xludf.DUMMYFUNCTION("""COMPUTED_VALUE"""),470.92)</f>
        <v>470.92</v>
      </c>
      <c r="E1057" s="4">
        <f>IFERROR(__xludf.DUMMYFUNCTION("""COMPUTED_VALUE"""),45818.66666666667)</f>
        <v>45818.66667</v>
      </c>
      <c r="F1057" s="1">
        <f>IFERROR(__xludf.DUMMYFUNCTION("""COMPUTED_VALUE"""),107.22)</f>
        <v>107.22</v>
      </c>
      <c r="G1057" s="4">
        <f>IFERROR(__xludf.DUMMYFUNCTION("""COMPUTED_VALUE"""),45818.66666666667)</f>
        <v>45818.66667</v>
      </c>
      <c r="H1057" s="1">
        <f>IFERROR(__xludf.DUMMYFUNCTION("""COMPUTED_VALUE"""),143.35)</f>
        <v>143.35</v>
      </c>
      <c r="I1057" s="5">
        <f t="shared" si="1"/>
        <v>-0.01919376326</v>
      </c>
      <c r="K1057" s="5">
        <f t="shared" si="2"/>
        <v>0.003609954982</v>
      </c>
      <c r="L1057" s="5">
        <f t="shared" si="3"/>
        <v>0.01949263197</v>
      </c>
      <c r="M1057" s="5">
        <f t="shared" si="4"/>
        <v>0.009975584234</v>
      </c>
      <c r="Q1057" s="5"/>
    </row>
    <row r="1058">
      <c r="A1058" s="4">
        <f>IFERROR(__xludf.DUMMYFUNCTION("""COMPUTED_VALUE"""),45819.66666666667)</f>
        <v>45819.66667</v>
      </c>
      <c r="B1058" s="1">
        <f>IFERROR(__xludf.DUMMYFUNCTION("""COMPUTED_VALUE"""),198.78)</f>
        <v>198.78</v>
      </c>
      <c r="C1058" s="4">
        <f>IFERROR(__xludf.DUMMYFUNCTION("""COMPUTED_VALUE"""),45819.66666666667)</f>
        <v>45819.66667</v>
      </c>
      <c r="D1058" s="1">
        <f>IFERROR(__xludf.DUMMYFUNCTION("""COMPUTED_VALUE"""),472.62)</f>
        <v>472.62</v>
      </c>
      <c r="E1058" s="4">
        <f>IFERROR(__xludf.DUMMYFUNCTION("""COMPUTED_VALUE"""),45819.66666666667)</f>
        <v>45819.66667</v>
      </c>
      <c r="F1058" s="1">
        <f>IFERROR(__xludf.DUMMYFUNCTION("""COMPUTED_VALUE"""),109.31)</f>
        <v>109.31</v>
      </c>
      <c r="G1058" s="4">
        <f>IFERROR(__xludf.DUMMYFUNCTION("""COMPUTED_VALUE"""),45819.66666666667)</f>
        <v>45819.66667</v>
      </c>
      <c r="H1058" s="1">
        <f>IFERROR(__xludf.DUMMYFUNCTION("""COMPUTED_VALUE"""),144.78)</f>
        <v>144.78</v>
      </c>
      <c r="I1058" s="5">
        <f t="shared" si="1"/>
        <v>0.002112888621</v>
      </c>
      <c r="K1058" s="5">
        <f t="shared" si="2"/>
        <v>0.01322415471</v>
      </c>
      <c r="L1058" s="5">
        <f t="shared" si="3"/>
        <v>0.003842283414</v>
      </c>
      <c r="M1058" s="5">
        <f t="shared" si="4"/>
        <v>0.001312335958</v>
      </c>
      <c r="Q1058" s="5"/>
    </row>
    <row r="1059">
      <c r="A1059" s="4">
        <f>IFERROR(__xludf.DUMMYFUNCTION("""COMPUTED_VALUE"""),45820.66666666667)</f>
        <v>45820.66667</v>
      </c>
      <c r="B1059" s="1">
        <f>IFERROR(__xludf.DUMMYFUNCTION("""COMPUTED_VALUE"""),199.2)</f>
        <v>199.2</v>
      </c>
      <c r="C1059" s="4">
        <f>IFERROR(__xludf.DUMMYFUNCTION("""COMPUTED_VALUE"""),45820.66666666667)</f>
        <v>45820.66667</v>
      </c>
      <c r="D1059" s="1">
        <f>IFERROR(__xludf.DUMMYFUNCTION("""COMPUTED_VALUE"""),478.87)</f>
        <v>478.87</v>
      </c>
      <c r="E1059" s="4">
        <f>IFERROR(__xludf.DUMMYFUNCTION("""COMPUTED_VALUE"""),45820.66666666667)</f>
        <v>45820.66667</v>
      </c>
      <c r="F1059" s="1">
        <f>IFERROR(__xludf.DUMMYFUNCTION("""COMPUTED_VALUE"""),109.73)</f>
        <v>109.73</v>
      </c>
      <c r="G1059" s="4">
        <f>IFERROR(__xludf.DUMMYFUNCTION("""COMPUTED_VALUE"""),45820.66666666667)</f>
        <v>45820.66667</v>
      </c>
      <c r="H1059" s="1">
        <f>IFERROR(__xludf.DUMMYFUNCTION("""COMPUTED_VALUE"""),144.97)</f>
        <v>144.97</v>
      </c>
      <c r="I1059" s="5">
        <f t="shared" si="1"/>
        <v>-0.01380522088</v>
      </c>
      <c r="K1059" s="5">
        <f t="shared" si="2"/>
        <v>-0.008165055234</v>
      </c>
      <c r="L1059" s="5">
        <f t="shared" si="3"/>
        <v>0.02178073453</v>
      </c>
      <c r="M1059" s="5">
        <f t="shared" si="4"/>
        <v>0.006484100159</v>
      </c>
      <c r="Q1059" s="5"/>
    </row>
    <row r="1060">
      <c r="A1060" s="4">
        <f>IFERROR(__xludf.DUMMYFUNCTION("""COMPUTED_VALUE"""),45821.66666666667)</f>
        <v>45821.66667</v>
      </c>
      <c r="B1060" s="1">
        <f>IFERROR(__xludf.DUMMYFUNCTION("""COMPUTED_VALUE"""),196.45)</f>
        <v>196.45</v>
      </c>
      <c r="C1060" s="4">
        <f>IFERROR(__xludf.DUMMYFUNCTION("""COMPUTED_VALUE"""),45821.66666666667)</f>
        <v>45821.66667</v>
      </c>
      <c r="D1060" s="1">
        <f>IFERROR(__xludf.DUMMYFUNCTION("""COMPUTED_VALUE"""),474.96)</f>
        <v>474.96</v>
      </c>
      <c r="E1060" s="4">
        <f>IFERROR(__xludf.DUMMYFUNCTION("""COMPUTED_VALUE"""),45821.66666666667)</f>
        <v>45821.66667</v>
      </c>
      <c r="F1060" s="1">
        <f>IFERROR(__xludf.DUMMYFUNCTION("""COMPUTED_VALUE"""),112.12)</f>
        <v>112.12</v>
      </c>
      <c r="G1060" s="4">
        <f>IFERROR(__xludf.DUMMYFUNCTION("""COMPUTED_VALUE"""),45821.66666666667)</f>
        <v>45821.66667</v>
      </c>
      <c r="H1060" s="1">
        <f>IFERROR(__xludf.DUMMYFUNCTION("""COMPUTED_VALUE"""),145.91)</f>
        <v>145.91</v>
      </c>
      <c r="I1060" s="5">
        <f t="shared" si="1"/>
        <v>0.01002799695</v>
      </c>
      <c r="K1060" s="5">
        <f t="shared" si="2"/>
        <v>0.008800741115</v>
      </c>
      <c r="L1060" s="5">
        <f t="shared" si="3"/>
        <v>0.003210845523</v>
      </c>
      <c r="M1060" s="5">
        <f t="shared" si="4"/>
        <v>0.0008224247824</v>
      </c>
      <c r="Q1060" s="5"/>
    </row>
    <row r="1061">
      <c r="A1061" s="4">
        <f>IFERROR(__xludf.DUMMYFUNCTION("""COMPUTED_VALUE"""),45824.66666666667)</f>
        <v>45824.66667</v>
      </c>
      <c r="B1061" s="1">
        <f>IFERROR(__xludf.DUMMYFUNCTION("""COMPUTED_VALUE"""),198.42)</f>
        <v>198.42</v>
      </c>
      <c r="C1061" s="4">
        <f>IFERROR(__xludf.DUMMYFUNCTION("""COMPUTED_VALUE"""),45824.66666666667)</f>
        <v>45824.66667</v>
      </c>
      <c r="D1061" s="1">
        <f>IFERROR(__xludf.DUMMYFUNCTION("""COMPUTED_VALUE"""),479.14)</f>
        <v>479.14</v>
      </c>
      <c r="E1061" s="4">
        <f>IFERROR(__xludf.DUMMYFUNCTION("""COMPUTED_VALUE"""),45824.66666666667)</f>
        <v>45824.66667</v>
      </c>
      <c r="F1061" s="1">
        <f>IFERROR(__xludf.DUMMYFUNCTION("""COMPUTED_VALUE"""),112.48)</f>
        <v>112.48</v>
      </c>
      <c r="G1061" s="4">
        <f>IFERROR(__xludf.DUMMYFUNCTION("""COMPUTED_VALUE"""),45824.66666666667)</f>
        <v>45824.66667</v>
      </c>
      <c r="H1061" s="1">
        <f>IFERROR(__xludf.DUMMYFUNCTION("""COMPUTED_VALUE"""),146.03)</f>
        <v>146.03</v>
      </c>
      <c r="I1061" s="5">
        <f t="shared" si="1"/>
        <v>-0.01401068441</v>
      </c>
      <c r="K1061" s="5">
        <f t="shared" si="2"/>
        <v>-0.002295779939</v>
      </c>
      <c r="L1061" s="5">
        <f t="shared" si="3"/>
        <v>0.01351351351</v>
      </c>
      <c r="M1061" s="5">
        <f t="shared" si="4"/>
        <v>0.01931110046</v>
      </c>
      <c r="Q1061" s="5"/>
    </row>
    <row r="1062">
      <c r="A1062" s="4">
        <f>IFERROR(__xludf.DUMMYFUNCTION("""COMPUTED_VALUE"""),45825.66666666667)</f>
        <v>45825.66667</v>
      </c>
      <c r="B1062" s="1">
        <f>IFERROR(__xludf.DUMMYFUNCTION("""COMPUTED_VALUE"""),195.64)</f>
        <v>195.64</v>
      </c>
      <c r="C1062" s="4">
        <f>IFERROR(__xludf.DUMMYFUNCTION("""COMPUTED_VALUE"""),45825.66666666667)</f>
        <v>45825.66667</v>
      </c>
      <c r="D1062" s="1">
        <f>IFERROR(__xludf.DUMMYFUNCTION("""COMPUTED_VALUE"""),478.04)</f>
        <v>478.04</v>
      </c>
      <c r="E1062" s="4">
        <f>IFERROR(__xludf.DUMMYFUNCTION("""COMPUTED_VALUE"""),45825.66666666667)</f>
        <v>45825.66667</v>
      </c>
      <c r="F1062" s="1">
        <f>IFERROR(__xludf.DUMMYFUNCTION("""COMPUTED_VALUE"""),114.0)</f>
        <v>114</v>
      </c>
      <c r="G1062" s="4">
        <f>IFERROR(__xludf.DUMMYFUNCTION("""COMPUTED_VALUE"""),45825.66666666667)</f>
        <v>45825.66667</v>
      </c>
      <c r="H1062" s="1">
        <f>IFERROR(__xludf.DUMMYFUNCTION("""COMPUTED_VALUE"""),148.85)</f>
        <v>148.85</v>
      </c>
      <c r="I1062" s="5">
        <f t="shared" si="1"/>
        <v>0.004804743406</v>
      </c>
      <c r="K1062" s="5">
        <f t="shared" si="2"/>
        <v>0.004602125345</v>
      </c>
      <c r="L1062" s="5">
        <f t="shared" si="3"/>
        <v>-0.007105263158</v>
      </c>
      <c r="M1062" s="5">
        <f t="shared" si="4"/>
        <v>-0.004433993954</v>
      </c>
      <c r="Q1062" s="5"/>
    </row>
    <row r="1063">
      <c r="A1063" s="4">
        <f>IFERROR(__xludf.DUMMYFUNCTION("""COMPUTED_VALUE"""),45826.66666666667)</f>
        <v>45826.66667</v>
      </c>
      <c r="B1063" s="1">
        <f>IFERROR(__xludf.DUMMYFUNCTION("""COMPUTED_VALUE"""),196.58)</f>
        <v>196.58</v>
      </c>
      <c r="C1063" s="4">
        <f>IFERROR(__xludf.DUMMYFUNCTION("""COMPUTED_VALUE"""),45826.66666666667)</f>
        <v>45826.66667</v>
      </c>
      <c r="D1063" s="1">
        <f>IFERROR(__xludf.DUMMYFUNCTION("""COMPUTED_VALUE"""),480.24)</f>
        <v>480.24</v>
      </c>
      <c r="E1063" s="4">
        <f>IFERROR(__xludf.DUMMYFUNCTION("""COMPUTED_VALUE"""),45826.66666666667)</f>
        <v>45826.66667</v>
      </c>
      <c r="F1063" s="1">
        <f>IFERROR(__xludf.DUMMYFUNCTION("""COMPUTED_VALUE"""),113.19)</f>
        <v>113.19</v>
      </c>
      <c r="G1063" s="4">
        <f>IFERROR(__xludf.DUMMYFUNCTION("""COMPUTED_VALUE"""),45826.66666666667)</f>
        <v>45826.66667</v>
      </c>
      <c r="H1063" s="1">
        <f>IFERROR(__xludf.DUMMYFUNCTION("""COMPUTED_VALUE"""),148.19)</f>
        <v>148.19</v>
      </c>
      <c r="I1063" s="5">
        <f t="shared" si="1"/>
        <v>0.02248448469</v>
      </c>
      <c r="K1063" s="5">
        <f t="shared" si="2"/>
        <v>-0.005913709812</v>
      </c>
      <c r="L1063" s="5">
        <f t="shared" si="3"/>
        <v>0.0133404011</v>
      </c>
      <c r="M1063" s="5">
        <f t="shared" si="4"/>
        <v>0.009177407382</v>
      </c>
      <c r="Q1063" s="5"/>
    </row>
    <row r="1064">
      <c r="A1064" s="4">
        <f>IFERROR(__xludf.DUMMYFUNCTION("""COMPUTED_VALUE"""),45828.66666666667)</f>
        <v>45828.66667</v>
      </c>
      <c r="B1064" s="1">
        <f>IFERROR(__xludf.DUMMYFUNCTION("""COMPUTED_VALUE"""),201.0)</f>
        <v>201</v>
      </c>
      <c r="C1064" s="4">
        <f>IFERROR(__xludf.DUMMYFUNCTION("""COMPUTED_VALUE"""),45828.66666666667)</f>
        <v>45828.66667</v>
      </c>
      <c r="D1064" s="1">
        <f>IFERROR(__xludf.DUMMYFUNCTION("""COMPUTED_VALUE"""),477.4)</f>
        <v>477.4</v>
      </c>
      <c r="E1064" s="4">
        <f>IFERROR(__xludf.DUMMYFUNCTION("""COMPUTED_VALUE"""),45828.66666666667)</f>
        <v>45828.66667</v>
      </c>
      <c r="F1064" s="1">
        <f>IFERROR(__xludf.DUMMYFUNCTION("""COMPUTED_VALUE"""),114.7)</f>
        <v>114.7</v>
      </c>
      <c r="G1064" s="4">
        <f>IFERROR(__xludf.DUMMYFUNCTION("""COMPUTED_VALUE"""),45828.66666666667)</f>
        <v>45828.66667</v>
      </c>
      <c r="H1064" s="1">
        <f>IFERROR(__xludf.DUMMYFUNCTION("""COMPUTED_VALUE"""),149.55)</f>
        <v>149.55</v>
      </c>
      <c r="I1064" s="5">
        <f t="shared" si="1"/>
        <v>0.002487562189</v>
      </c>
      <c r="K1064" s="5">
        <f t="shared" si="2"/>
        <v>0.01801424382</v>
      </c>
      <c r="L1064" s="5">
        <f t="shared" si="3"/>
        <v>-0.02580645161</v>
      </c>
      <c r="M1064" s="5">
        <f t="shared" si="4"/>
        <v>-0.01798729522</v>
      </c>
      <c r="Q1064" s="5"/>
    </row>
    <row r="1065">
      <c r="A1065" s="4">
        <f>IFERROR(__xludf.DUMMYFUNCTION("""COMPUTED_VALUE"""),45831.66666666667)</f>
        <v>45831.66667</v>
      </c>
      <c r="B1065" s="1">
        <f>IFERROR(__xludf.DUMMYFUNCTION("""COMPUTED_VALUE"""),201.5)</f>
        <v>201.5</v>
      </c>
      <c r="C1065" s="4">
        <f>IFERROR(__xludf.DUMMYFUNCTION("""COMPUTED_VALUE"""),45831.66666666667)</f>
        <v>45831.66667</v>
      </c>
      <c r="D1065" s="1">
        <f>IFERROR(__xludf.DUMMYFUNCTION("""COMPUTED_VALUE"""),486.0)</f>
        <v>486</v>
      </c>
      <c r="E1065" s="4">
        <f>IFERROR(__xludf.DUMMYFUNCTION("""COMPUTED_VALUE"""),45831.66666666667)</f>
        <v>45831.66667</v>
      </c>
      <c r="F1065" s="1">
        <f>IFERROR(__xludf.DUMMYFUNCTION("""COMPUTED_VALUE"""),111.74)</f>
        <v>111.74</v>
      </c>
      <c r="G1065" s="4">
        <f>IFERROR(__xludf.DUMMYFUNCTION("""COMPUTED_VALUE"""),45831.66666666667)</f>
        <v>45831.66667</v>
      </c>
      <c r="H1065" s="1">
        <f>IFERROR(__xludf.DUMMYFUNCTION("""COMPUTED_VALUE"""),146.86)</f>
        <v>146.86</v>
      </c>
      <c r="I1065" s="5">
        <f t="shared" si="1"/>
        <v>-0.005955334988</v>
      </c>
      <c r="K1065" s="5">
        <f t="shared" si="2"/>
        <v>0.008456790123</v>
      </c>
      <c r="L1065" s="5">
        <f t="shared" si="3"/>
        <v>-0.03042777877</v>
      </c>
      <c r="M1065" s="5">
        <f t="shared" si="4"/>
        <v>-0.02253847201</v>
      </c>
      <c r="Q1065" s="5"/>
    </row>
    <row r="1066">
      <c r="A1066" s="4">
        <f>IFERROR(__xludf.DUMMYFUNCTION("""COMPUTED_VALUE"""),45832.66666666667)</f>
        <v>45832.66667</v>
      </c>
      <c r="B1066" s="1">
        <f>IFERROR(__xludf.DUMMYFUNCTION("""COMPUTED_VALUE"""),200.3)</f>
        <v>200.3</v>
      </c>
      <c r="C1066" s="4">
        <f>IFERROR(__xludf.DUMMYFUNCTION("""COMPUTED_VALUE"""),45832.66666666667)</f>
        <v>45832.66667</v>
      </c>
      <c r="D1066" s="1">
        <f>IFERROR(__xludf.DUMMYFUNCTION("""COMPUTED_VALUE"""),490.11)</f>
        <v>490.11</v>
      </c>
      <c r="E1066" s="4">
        <f>IFERROR(__xludf.DUMMYFUNCTION("""COMPUTED_VALUE"""),45832.66666666667)</f>
        <v>45832.66667</v>
      </c>
      <c r="F1066" s="1">
        <f>IFERROR(__xludf.DUMMYFUNCTION("""COMPUTED_VALUE"""),108.34)</f>
        <v>108.34</v>
      </c>
      <c r="G1066" s="4">
        <f>IFERROR(__xludf.DUMMYFUNCTION("""COMPUTED_VALUE"""),45832.66666666667)</f>
        <v>45832.66667</v>
      </c>
      <c r="H1066" s="1">
        <f>IFERROR(__xludf.DUMMYFUNCTION("""COMPUTED_VALUE"""),143.55)</f>
        <v>143.55</v>
      </c>
      <c r="I1066" s="5">
        <f t="shared" si="1"/>
        <v>0.006290564154</v>
      </c>
      <c r="K1066" s="5">
        <f t="shared" si="2"/>
        <v>0.0044071739</v>
      </c>
      <c r="L1066" s="5">
        <f t="shared" si="3"/>
        <v>0.0002769060366</v>
      </c>
      <c r="M1066" s="5">
        <f t="shared" si="4"/>
        <v>-0.002229188436</v>
      </c>
      <c r="Q1066" s="5"/>
    </row>
    <row r="1067">
      <c r="A1067" s="4">
        <f>IFERROR(__xludf.DUMMYFUNCTION("""COMPUTED_VALUE"""),45833.66666666667)</f>
        <v>45833.66667</v>
      </c>
      <c r="B1067" s="1">
        <f>IFERROR(__xludf.DUMMYFUNCTION("""COMPUTED_VALUE"""),201.56)</f>
        <v>201.56</v>
      </c>
      <c r="C1067" s="4">
        <f>IFERROR(__xludf.DUMMYFUNCTION("""COMPUTED_VALUE"""),45833.66666666667)</f>
        <v>45833.66667</v>
      </c>
      <c r="D1067" s="1">
        <f>IFERROR(__xludf.DUMMYFUNCTION("""COMPUTED_VALUE"""),492.27)</f>
        <v>492.27</v>
      </c>
      <c r="E1067" s="4">
        <f>IFERROR(__xludf.DUMMYFUNCTION("""COMPUTED_VALUE"""),45833.66666666667)</f>
        <v>45833.66667</v>
      </c>
      <c r="F1067" s="1">
        <f>IFERROR(__xludf.DUMMYFUNCTION("""COMPUTED_VALUE"""),108.37)</f>
        <v>108.37</v>
      </c>
      <c r="G1067" s="4">
        <f>IFERROR(__xludf.DUMMYFUNCTION("""COMPUTED_VALUE"""),45833.66666666667)</f>
        <v>45833.66667</v>
      </c>
      <c r="H1067" s="1">
        <f>IFERROR(__xludf.DUMMYFUNCTION("""COMPUTED_VALUE"""),143.23)</f>
        <v>143.23</v>
      </c>
      <c r="I1067" s="5">
        <f t="shared" si="1"/>
        <v>-0.002778329034</v>
      </c>
      <c r="K1067" s="5">
        <f t="shared" si="2"/>
        <v>0.01052268064</v>
      </c>
      <c r="L1067" s="5">
        <f t="shared" si="3"/>
        <v>0.01494878656</v>
      </c>
      <c r="M1067" s="5">
        <f t="shared" si="4"/>
        <v>0.008447950848</v>
      </c>
      <c r="Q1067" s="5"/>
    </row>
    <row r="1068">
      <c r="A1068" s="4">
        <f>IFERROR(__xludf.DUMMYFUNCTION("""COMPUTED_VALUE"""),45834.66666666667)</f>
        <v>45834.66667</v>
      </c>
      <c r="B1068" s="1">
        <f>IFERROR(__xludf.DUMMYFUNCTION("""COMPUTED_VALUE"""),201.0)</f>
        <v>201</v>
      </c>
      <c r="C1068" s="4">
        <f>IFERROR(__xludf.DUMMYFUNCTION("""COMPUTED_VALUE"""),45834.66666666667)</f>
        <v>45834.66667</v>
      </c>
      <c r="D1068" s="1">
        <f>IFERROR(__xludf.DUMMYFUNCTION("""COMPUTED_VALUE"""),497.45)</f>
        <v>497.45</v>
      </c>
      <c r="E1068" s="4">
        <f>IFERROR(__xludf.DUMMYFUNCTION("""COMPUTED_VALUE"""),45834.66666666667)</f>
        <v>45834.66667</v>
      </c>
      <c r="F1068" s="1">
        <f>IFERROR(__xludf.DUMMYFUNCTION("""COMPUTED_VALUE"""),109.99)</f>
        <v>109.99</v>
      </c>
      <c r="G1068" s="4">
        <f>IFERROR(__xludf.DUMMYFUNCTION("""COMPUTED_VALUE"""),45834.66666666667)</f>
        <v>45834.66667</v>
      </c>
      <c r="H1068" s="1">
        <f>IFERROR(__xludf.DUMMYFUNCTION("""COMPUTED_VALUE"""),144.44)</f>
        <v>144.44</v>
      </c>
      <c r="I1068" s="5">
        <f t="shared" si="1"/>
        <v>0.0003980099502</v>
      </c>
      <c r="K1068" s="5">
        <f t="shared" si="2"/>
        <v>-0.003035480953</v>
      </c>
      <c r="L1068" s="5">
        <f t="shared" si="3"/>
        <v>-0.005545958724</v>
      </c>
      <c r="M1068" s="5">
        <f t="shared" si="4"/>
        <v>-0.004500138466</v>
      </c>
      <c r="Q1068" s="5"/>
    </row>
    <row r="1069">
      <c r="A1069" s="4">
        <f>IFERROR(__xludf.DUMMYFUNCTION("""COMPUTED_VALUE"""),45835.66666666667)</f>
        <v>45835.66667</v>
      </c>
      <c r="B1069" s="1">
        <f>IFERROR(__xludf.DUMMYFUNCTION("""COMPUTED_VALUE"""),201.08)</f>
        <v>201.08</v>
      </c>
      <c r="C1069" s="4">
        <f>IFERROR(__xludf.DUMMYFUNCTION("""COMPUTED_VALUE"""),45835.66666666667)</f>
        <v>45835.66667</v>
      </c>
      <c r="D1069" s="1">
        <f>IFERROR(__xludf.DUMMYFUNCTION("""COMPUTED_VALUE"""),495.94)</f>
        <v>495.94</v>
      </c>
      <c r="E1069" s="4">
        <f>IFERROR(__xludf.DUMMYFUNCTION("""COMPUTED_VALUE"""),45835.66666666667)</f>
        <v>45835.66667</v>
      </c>
      <c r="F1069" s="1">
        <f>IFERROR(__xludf.DUMMYFUNCTION("""COMPUTED_VALUE"""),109.38)</f>
        <v>109.38</v>
      </c>
      <c r="G1069" s="4">
        <f>IFERROR(__xludf.DUMMYFUNCTION("""COMPUTED_VALUE"""),45835.66666666667)</f>
        <v>45835.66667</v>
      </c>
      <c r="H1069" s="1">
        <f>IFERROR(__xludf.DUMMYFUNCTION("""COMPUTED_VALUE"""),143.79)</f>
        <v>143.79</v>
      </c>
      <c r="I1069" s="5">
        <f t="shared" si="1"/>
        <v>0.02034016312</v>
      </c>
      <c r="K1069" s="5">
        <f t="shared" si="2"/>
        <v>0.002964068234</v>
      </c>
      <c r="L1069" s="5">
        <f t="shared" si="3"/>
        <v>-0.01444505394</v>
      </c>
      <c r="M1069" s="5">
        <f t="shared" si="4"/>
        <v>-0.00417275193</v>
      </c>
      <c r="Q1069" s="5"/>
    </row>
    <row r="1070">
      <c r="A1070" s="4">
        <f>IFERROR(__xludf.DUMMYFUNCTION("""COMPUTED_VALUE"""),45838.66666666667)</f>
        <v>45838.66667</v>
      </c>
      <c r="B1070" s="1">
        <f>IFERROR(__xludf.DUMMYFUNCTION("""COMPUTED_VALUE"""),205.17)</f>
        <v>205.17</v>
      </c>
      <c r="C1070" s="4">
        <f>IFERROR(__xludf.DUMMYFUNCTION("""COMPUTED_VALUE"""),45838.66666666667)</f>
        <v>45838.66667</v>
      </c>
      <c r="D1070" s="1">
        <f>IFERROR(__xludf.DUMMYFUNCTION("""COMPUTED_VALUE"""),497.41)</f>
        <v>497.41</v>
      </c>
      <c r="E1070" s="4">
        <f>IFERROR(__xludf.DUMMYFUNCTION("""COMPUTED_VALUE"""),45838.66666666667)</f>
        <v>45838.66667</v>
      </c>
      <c r="F1070" s="1">
        <f>IFERROR(__xludf.DUMMYFUNCTION("""COMPUTED_VALUE"""),107.8)</f>
        <v>107.8</v>
      </c>
      <c r="G1070" s="4">
        <f>IFERROR(__xludf.DUMMYFUNCTION("""COMPUTED_VALUE"""),45838.66666666667)</f>
        <v>45838.66667</v>
      </c>
      <c r="H1070" s="1">
        <f>IFERROR(__xludf.DUMMYFUNCTION("""COMPUTED_VALUE"""),143.19)</f>
        <v>143.19</v>
      </c>
      <c r="I1070" s="5">
        <f t="shared" si="1"/>
        <v>0.01291611834</v>
      </c>
      <c r="K1070" s="5">
        <f t="shared" si="2"/>
        <v>-0.01077581874</v>
      </c>
      <c r="L1070" s="5">
        <f t="shared" si="3"/>
        <v>0.0133580705</v>
      </c>
      <c r="M1070" s="5">
        <f t="shared" si="4"/>
        <v>0.01662127244</v>
      </c>
      <c r="Q1070" s="5"/>
    </row>
    <row r="1071">
      <c r="A1071" s="4">
        <f>IFERROR(__xludf.DUMMYFUNCTION("""COMPUTED_VALUE"""),45839.66666666667)</f>
        <v>45839.66667</v>
      </c>
      <c r="B1071" s="1">
        <f>IFERROR(__xludf.DUMMYFUNCTION("""COMPUTED_VALUE"""),207.82)</f>
        <v>207.82</v>
      </c>
      <c r="C1071" s="4">
        <f>IFERROR(__xludf.DUMMYFUNCTION("""COMPUTED_VALUE"""),45839.66666666667)</f>
        <v>45839.66667</v>
      </c>
      <c r="D1071" s="1">
        <f>IFERROR(__xludf.DUMMYFUNCTION("""COMPUTED_VALUE"""),492.05)</f>
        <v>492.05</v>
      </c>
      <c r="E1071" s="4">
        <f>IFERROR(__xludf.DUMMYFUNCTION("""COMPUTED_VALUE"""),45839.66666666667)</f>
        <v>45839.66667</v>
      </c>
      <c r="F1071" s="1">
        <f>IFERROR(__xludf.DUMMYFUNCTION("""COMPUTED_VALUE"""),109.24)</f>
        <v>109.24</v>
      </c>
      <c r="G1071" s="4">
        <f>IFERROR(__xludf.DUMMYFUNCTION("""COMPUTED_VALUE"""),45839.66666666667)</f>
        <v>45839.66667</v>
      </c>
      <c r="H1071" s="1">
        <f>IFERROR(__xludf.DUMMYFUNCTION("""COMPUTED_VALUE"""),145.57)</f>
        <v>145.57</v>
      </c>
      <c r="I1071" s="5">
        <f t="shared" si="1"/>
        <v>0.02223077663</v>
      </c>
      <c r="K1071" s="5">
        <f t="shared" si="2"/>
        <v>-0.001951021238</v>
      </c>
      <c r="L1071" s="5">
        <f t="shared" si="3"/>
        <v>0.01656902234</v>
      </c>
      <c r="M1071" s="5">
        <f t="shared" si="4"/>
        <v>0.01655560899</v>
      </c>
      <c r="Q1071" s="5"/>
    </row>
    <row r="1072">
      <c r="A1072" s="4">
        <f>IFERROR(__xludf.DUMMYFUNCTION("""COMPUTED_VALUE"""),45840.66666666667)</f>
        <v>45840.66667</v>
      </c>
      <c r="B1072" s="1">
        <f>IFERROR(__xludf.DUMMYFUNCTION("""COMPUTED_VALUE"""),212.44)</f>
        <v>212.44</v>
      </c>
      <c r="C1072" s="4">
        <f>IFERROR(__xludf.DUMMYFUNCTION("""COMPUTED_VALUE"""),45840.66666666667)</f>
        <v>45840.66667</v>
      </c>
      <c r="D1072" s="1">
        <f>IFERROR(__xludf.DUMMYFUNCTION("""COMPUTED_VALUE"""),491.09)</f>
        <v>491.09</v>
      </c>
      <c r="E1072" s="4">
        <f>IFERROR(__xludf.DUMMYFUNCTION("""COMPUTED_VALUE"""),45840.66666666667)</f>
        <v>45840.66667</v>
      </c>
      <c r="F1072" s="1">
        <f>IFERROR(__xludf.DUMMYFUNCTION("""COMPUTED_VALUE"""),111.05)</f>
        <v>111.05</v>
      </c>
      <c r="G1072" s="4">
        <f>IFERROR(__xludf.DUMMYFUNCTION("""COMPUTED_VALUE"""),45840.66666666667)</f>
        <v>45840.66667</v>
      </c>
      <c r="H1072" s="1">
        <f>IFERROR(__xludf.DUMMYFUNCTION("""COMPUTED_VALUE"""),147.98)</f>
        <v>147.98</v>
      </c>
      <c r="I1072" s="5">
        <f t="shared" si="1"/>
        <v>0.005225004707</v>
      </c>
      <c r="K1072" s="5">
        <f t="shared" si="2"/>
        <v>0.01578122136</v>
      </c>
      <c r="L1072" s="5">
        <f t="shared" si="3"/>
        <v>0.01035569563</v>
      </c>
      <c r="M1072" s="5">
        <f t="shared" si="4"/>
        <v>0.002635491283</v>
      </c>
      <c r="Q1072" s="5"/>
    </row>
    <row r="1073">
      <c r="A1073" s="4">
        <f>IFERROR(__xludf.DUMMYFUNCTION("""COMPUTED_VALUE"""),45841.54513888889)</f>
        <v>45841.54514</v>
      </c>
      <c r="B1073" s="1">
        <f>IFERROR(__xludf.DUMMYFUNCTION("""COMPUTED_VALUE"""),213.55)</f>
        <v>213.55</v>
      </c>
      <c r="C1073" s="4">
        <f>IFERROR(__xludf.DUMMYFUNCTION("""COMPUTED_VALUE"""),45841.54513888889)</f>
        <v>45841.54514</v>
      </c>
      <c r="D1073" s="1">
        <f>IFERROR(__xludf.DUMMYFUNCTION("""COMPUTED_VALUE"""),498.84)</f>
        <v>498.84</v>
      </c>
      <c r="E1073" s="4">
        <f>IFERROR(__xludf.DUMMYFUNCTION("""COMPUTED_VALUE"""),45841.54166666667)</f>
        <v>45841.54167</v>
      </c>
      <c r="F1073" s="1">
        <f>IFERROR(__xludf.DUMMYFUNCTION("""COMPUTED_VALUE"""),112.2)</f>
        <v>112.2</v>
      </c>
      <c r="G1073" s="4">
        <f>IFERROR(__xludf.DUMMYFUNCTION("""COMPUTED_VALUE"""),45841.54166666667)</f>
        <v>45841.54167</v>
      </c>
      <c r="H1073" s="1">
        <f>IFERROR(__xludf.DUMMYFUNCTION("""COMPUTED_VALUE"""),148.37)</f>
        <v>148.37</v>
      </c>
      <c r="I1073" s="5">
        <f t="shared" si="1"/>
        <v>-0.01685787872</v>
      </c>
      <c r="K1073" s="5">
        <f t="shared" si="2"/>
        <v>-0.002245208885</v>
      </c>
      <c r="L1073" s="5">
        <f t="shared" si="3"/>
        <v>-0.009714795009</v>
      </c>
      <c r="M1073" s="5">
        <f t="shared" si="4"/>
        <v>-0.00653770978</v>
      </c>
      <c r="Q1073" s="5"/>
    </row>
    <row r="1074">
      <c r="A1074" s="4">
        <f>IFERROR(__xludf.DUMMYFUNCTION("""COMPUTED_VALUE"""),45845.66666666667)</f>
        <v>45845.66667</v>
      </c>
      <c r="B1074" s="1">
        <f>IFERROR(__xludf.DUMMYFUNCTION("""COMPUTED_VALUE"""),209.95)</f>
        <v>209.95</v>
      </c>
      <c r="C1074" s="4">
        <f>IFERROR(__xludf.DUMMYFUNCTION("""COMPUTED_VALUE"""),45845.66666666667)</f>
        <v>45845.66667</v>
      </c>
      <c r="D1074" s="1">
        <f>IFERROR(__xludf.DUMMYFUNCTION("""COMPUTED_VALUE"""),497.72)</f>
        <v>497.72</v>
      </c>
      <c r="E1074" s="4">
        <f>IFERROR(__xludf.DUMMYFUNCTION("""COMPUTED_VALUE"""),45845.66666666667)</f>
        <v>45845.66667</v>
      </c>
      <c r="F1074" s="1">
        <f>IFERROR(__xludf.DUMMYFUNCTION("""COMPUTED_VALUE"""),111.11)</f>
        <v>111.11</v>
      </c>
      <c r="G1074" s="4">
        <f>IFERROR(__xludf.DUMMYFUNCTION("""COMPUTED_VALUE"""),45845.66666666667)</f>
        <v>45845.66667</v>
      </c>
      <c r="H1074" s="1">
        <f>IFERROR(__xludf.DUMMYFUNCTION("""COMPUTED_VALUE"""),147.4)</f>
        <v>147.4</v>
      </c>
      <c r="I1074" s="5">
        <f t="shared" si="1"/>
        <v>0.0002857823291</v>
      </c>
      <c r="K1074" s="5">
        <f t="shared" si="2"/>
        <v>-0.002210077955</v>
      </c>
      <c r="L1074" s="5">
        <f t="shared" si="3"/>
        <v>0.0277202772</v>
      </c>
      <c r="M1074" s="5">
        <f t="shared" si="4"/>
        <v>0.03962008141</v>
      </c>
      <c r="Q1074" s="5"/>
    </row>
    <row r="1075">
      <c r="A1075" s="4">
        <f>IFERROR(__xludf.DUMMYFUNCTION("""COMPUTED_VALUE"""),45846.66666666667)</f>
        <v>45846.66667</v>
      </c>
      <c r="B1075" s="1">
        <f>IFERROR(__xludf.DUMMYFUNCTION("""COMPUTED_VALUE"""),210.01)</f>
        <v>210.01</v>
      </c>
      <c r="C1075" s="4">
        <f>IFERROR(__xludf.DUMMYFUNCTION("""COMPUTED_VALUE"""),45846.66666666667)</f>
        <v>45846.66667</v>
      </c>
      <c r="D1075" s="1">
        <f>IFERROR(__xludf.DUMMYFUNCTION("""COMPUTED_VALUE"""),496.62)</f>
        <v>496.62</v>
      </c>
      <c r="E1075" s="4">
        <f>IFERROR(__xludf.DUMMYFUNCTION("""COMPUTED_VALUE"""),45846.66666666667)</f>
        <v>45846.66667</v>
      </c>
      <c r="F1075" s="1">
        <f>IFERROR(__xludf.DUMMYFUNCTION("""COMPUTED_VALUE"""),114.19)</f>
        <v>114.19</v>
      </c>
      <c r="G1075" s="4">
        <f>IFERROR(__xludf.DUMMYFUNCTION("""COMPUTED_VALUE"""),45846.66666666667)</f>
        <v>45846.66667</v>
      </c>
      <c r="H1075" s="1">
        <f>IFERROR(__xludf.DUMMYFUNCTION("""COMPUTED_VALUE"""),153.24)</f>
        <v>153.24</v>
      </c>
      <c r="I1075" s="5">
        <f t="shared" si="1"/>
        <v>0.005380696157</v>
      </c>
      <c r="K1075" s="5">
        <f t="shared" si="2"/>
        <v>0.0138737868</v>
      </c>
      <c r="L1075" s="5">
        <f t="shared" si="3"/>
        <v>-0.003415360364</v>
      </c>
      <c r="M1075" s="5">
        <f t="shared" si="4"/>
        <v>-0.001435656487</v>
      </c>
      <c r="Q1075" s="5"/>
    </row>
    <row r="1076">
      <c r="A1076" s="4">
        <f>IFERROR(__xludf.DUMMYFUNCTION("""COMPUTED_VALUE"""),45847.66666666667)</f>
        <v>45847.66667</v>
      </c>
      <c r="B1076" s="1">
        <f>IFERROR(__xludf.DUMMYFUNCTION("""COMPUTED_VALUE"""),211.14)</f>
        <v>211.14</v>
      </c>
      <c r="C1076" s="4">
        <f>IFERROR(__xludf.DUMMYFUNCTION("""COMPUTED_VALUE"""),45847.66666666667)</f>
        <v>45847.66667</v>
      </c>
      <c r="D1076" s="1">
        <f>IFERROR(__xludf.DUMMYFUNCTION("""COMPUTED_VALUE"""),503.51)</f>
        <v>503.51</v>
      </c>
      <c r="E1076" s="4">
        <f>IFERROR(__xludf.DUMMYFUNCTION("""COMPUTED_VALUE"""),45847.66666666667)</f>
        <v>45847.66667</v>
      </c>
      <c r="F1076" s="1">
        <f>IFERROR(__xludf.DUMMYFUNCTION("""COMPUTED_VALUE"""),113.8)</f>
        <v>113.8</v>
      </c>
      <c r="G1076" s="4">
        <f>IFERROR(__xludf.DUMMYFUNCTION("""COMPUTED_VALUE"""),45847.66666666667)</f>
        <v>45847.66667</v>
      </c>
      <c r="H1076" s="1">
        <f>IFERROR(__xludf.DUMMYFUNCTION("""COMPUTED_VALUE"""),153.02)</f>
        <v>153.02</v>
      </c>
      <c r="I1076" s="5">
        <f t="shared" si="1"/>
        <v>0.006014966373</v>
      </c>
      <c r="K1076" s="5">
        <f t="shared" si="2"/>
        <v>-0.004031697484</v>
      </c>
      <c r="L1076" s="5">
        <f t="shared" si="3"/>
        <v>0.00992970123</v>
      </c>
      <c r="M1076" s="5">
        <f t="shared" si="4"/>
        <v>0.00751535747</v>
      </c>
      <c r="Q1076" s="5"/>
    </row>
    <row r="1077">
      <c r="A1077" s="4">
        <f>IFERROR(__xludf.DUMMYFUNCTION("""COMPUTED_VALUE"""),45848.66666666667)</f>
        <v>45848.66667</v>
      </c>
      <c r="B1077" s="1">
        <f>IFERROR(__xludf.DUMMYFUNCTION("""COMPUTED_VALUE"""),212.41)</f>
        <v>212.41</v>
      </c>
      <c r="C1077" s="4">
        <f>IFERROR(__xludf.DUMMYFUNCTION("""COMPUTED_VALUE"""),45848.66666666667)</f>
        <v>45848.66667</v>
      </c>
      <c r="D1077" s="1">
        <f>IFERROR(__xludf.DUMMYFUNCTION("""COMPUTED_VALUE"""),501.48)</f>
        <v>501.48</v>
      </c>
      <c r="E1077" s="4">
        <f>IFERROR(__xludf.DUMMYFUNCTION("""COMPUTED_VALUE"""),45848.66666666667)</f>
        <v>45848.66667</v>
      </c>
      <c r="F1077" s="1">
        <f>IFERROR(__xludf.DUMMYFUNCTION("""COMPUTED_VALUE"""),114.93)</f>
        <v>114.93</v>
      </c>
      <c r="G1077" s="4">
        <f>IFERROR(__xludf.DUMMYFUNCTION("""COMPUTED_VALUE"""),45848.66666666667)</f>
        <v>45848.66667</v>
      </c>
      <c r="H1077" s="1">
        <f>IFERROR(__xludf.DUMMYFUNCTION("""COMPUTED_VALUE"""),154.17)</f>
        <v>154.17</v>
      </c>
      <c r="I1077" s="5">
        <f t="shared" si="1"/>
        <v>-0.005884845346</v>
      </c>
      <c r="K1077" s="5">
        <f t="shared" si="2"/>
        <v>0.003669139348</v>
      </c>
      <c r="L1077" s="5">
        <f t="shared" si="3"/>
        <v>0.004350474202</v>
      </c>
      <c r="M1077" s="5">
        <f t="shared" si="4"/>
        <v>0.007394434715</v>
      </c>
      <c r="Q1077" s="5"/>
    </row>
    <row r="1078">
      <c r="A1078" s="4">
        <f>IFERROR(__xludf.DUMMYFUNCTION("""COMPUTED_VALUE"""),45849.66666666667)</f>
        <v>45849.66667</v>
      </c>
      <c r="B1078" s="1">
        <f>IFERROR(__xludf.DUMMYFUNCTION("""COMPUTED_VALUE"""),211.16)</f>
        <v>211.16</v>
      </c>
      <c r="C1078" s="4">
        <f>IFERROR(__xludf.DUMMYFUNCTION("""COMPUTED_VALUE"""),45849.66666666667)</f>
        <v>45849.66667</v>
      </c>
      <c r="D1078" s="1">
        <f>IFERROR(__xludf.DUMMYFUNCTION("""COMPUTED_VALUE"""),503.32)</f>
        <v>503.32</v>
      </c>
      <c r="E1078" s="4">
        <f>IFERROR(__xludf.DUMMYFUNCTION("""COMPUTED_VALUE"""),45849.66666666667)</f>
        <v>45849.66667</v>
      </c>
      <c r="F1078" s="1">
        <f>IFERROR(__xludf.DUMMYFUNCTION("""COMPUTED_VALUE"""),115.43)</f>
        <v>115.43</v>
      </c>
      <c r="G1078" s="4">
        <f>IFERROR(__xludf.DUMMYFUNCTION("""COMPUTED_VALUE"""),45849.66666666667)</f>
        <v>45849.66667</v>
      </c>
      <c r="H1078" s="1">
        <f>IFERROR(__xludf.DUMMYFUNCTION("""COMPUTED_VALUE"""),155.31)</f>
        <v>155.31</v>
      </c>
      <c r="I1078" s="5">
        <f t="shared" si="1"/>
        <v>-0.01202879333</v>
      </c>
      <c r="K1078" s="5">
        <f t="shared" si="2"/>
        <v>-0.0005960422793</v>
      </c>
      <c r="L1078" s="5">
        <f t="shared" si="3"/>
        <v>-0.01308152127</v>
      </c>
      <c r="M1078" s="5">
        <f t="shared" si="4"/>
        <v>-0.02356577168</v>
      </c>
      <c r="Q1078" s="5"/>
    </row>
    <row r="1079">
      <c r="A1079" s="4">
        <f>IFERROR(__xludf.DUMMYFUNCTION("""COMPUTED_VALUE"""),45852.66666666667)</f>
        <v>45852.66667</v>
      </c>
      <c r="B1079" s="1">
        <f>IFERROR(__xludf.DUMMYFUNCTION("""COMPUTED_VALUE"""),208.62)</f>
        <v>208.62</v>
      </c>
      <c r="C1079" s="4">
        <f>IFERROR(__xludf.DUMMYFUNCTION("""COMPUTED_VALUE"""),45852.66666666667)</f>
        <v>45852.66667</v>
      </c>
      <c r="D1079" s="1">
        <f>IFERROR(__xludf.DUMMYFUNCTION("""COMPUTED_VALUE"""),503.02)</f>
        <v>503.02</v>
      </c>
      <c r="E1079" s="4">
        <f>IFERROR(__xludf.DUMMYFUNCTION("""COMPUTED_VALUE"""),45852.66666666667)</f>
        <v>45852.66667</v>
      </c>
      <c r="F1079" s="1">
        <f>IFERROR(__xludf.DUMMYFUNCTION("""COMPUTED_VALUE"""),113.92)</f>
        <v>113.92</v>
      </c>
      <c r="G1079" s="4">
        <f>IFERROR(__xludf.DUMMYFUNCTION("""COMPUTED_VALUE"""),45852.66666666667)</f>
        <v>45852.66667</v>
      </c>
      <c r="H1079" s="1">
        <f>IFERROR(__xludf.DUMMYFUNCTION("""COMPUTED_VALUE"""),151.65)</f>
        <v>151.65</v>
      </c>
      <c r="I1079" s="5">
        <f t="shared" si="1"/>
        <v>0.002348768095</v>
      </c>
      <c r="K1079" s="5">
        <f t="shared" si="2"/>
        <v>0.00556637907</v>
      </c>
      <c r="L1079" s="5">
        <f t="shared" si="3"/>
        <v>-0.008865870787</v>
      </c>
      <c r="M1079" s="5">
        <f t="shared" si="4"/>
        <v>-0.006330365974</v>
      </c>
      <c r="Q1079" s="5"/>
    </row>
    <row r="1080">
      <c r="A1080" s="4">
        <f>IFERROR(__xludf.DUMMYFUNCTION("""COMPUTED_VALUE"""),45853.66666666667)</f>
        <v>45853.66667</v>
      </c>
      <c r="B1080" s="1">
        <f>IFERROR(__xludf.DUMMYFUNCTION("""COMPUTED_VALUE"""),209.11)</f>
        <v>209.11</v>
      </c>
      <c r="C1080" s="4">
        <f>IFERROR(__xludf.DUMMYFUNCTION("""COMPUTED_VALUE"""),45853.66666666667)</f>
        <v>45853.66667</v>
      </c>
      <c r="D1080" s="1">
        <f>IFERROR(__xludf.DUMMYFUNCTION("""COMPUTED_VALUE"""),505.82)</f>
        <v>505.82</v>
      </c>
      <c r="E1080" s="4">
        <f>IFERROR(__xludf.DUMMYFUNCTION("""COMPUTED_VALUE"""),45853.66666666667)</f>
        <v>45853.66667</v>
      </c>
      <c r="F1080" s="1">
        <f>IFERROR(__xludf.DUMMYFUNCTION("""COMPUTED_VALUE"""),112.91)</f>
        <v>112.91</v>
      </c>
      <c r="G1080" s="4">
        <f>IFERROR(__xludf.DUMMYFUNCTION("""COMPUTED_VALUE"""),45853.66666666667)</f>
        <v>45853.66667</v>
      </c>
      <c r="H1080" s="1">
        <f>IFERROR(__xludf.DUMMYFUNCTION("""COMPUTED_VALUE"""),150.69)</f>
        <v>150.69</v>
      </c>
      <c r="I1080" s="5">
        <f t="shared" si="1"/>
        <v>0.005021280666</v>
      </c>
      <c r="K1080" s="5">
        <f t="shared" si="2"/>
        <v>-0.0003953975723</v>
      </c>
      <c r="L1080" s="5">
        <f t="shared" si="3"/>
        <v>-0.006022495793</v>
      </c>
      <c r="M1080" s="5">
        <f t="shared" si="4"/>
        <v>-0.005109828124</v>
      </c>
      <c r="Q1080" s="5"/>
    </row>
    <row r="1081">
      <c r="A1081" s="4">
        <f>IFERROR(__xludf.DUMMYFUNCTION("""COMPUTED_VALUE"""),45854.66666666667)</f>
        <v>45854.66667</v>
      </c>
      <c r="B1081" s="1">
        <f>IFERROR(__xludf.DUMMYFUNCTION("""COMPUTED_VALUE"""),210.16)</f>
        <v>210.16</v>
      </c>
      <c r="C1081" s="4">
        <f>IFERROR(__xludf.DUMMYFUNCTION("""COMPUTED_VALUE"""),45854.66666666667)</f>
        <v>45854.66667</v>
      </c>
      <c r="D1081" s="1">
        <f>IFERROR(__xludf.DUMMYFUNCTION("""COMPUTED_VALUE"""),505.62)</f>
        <v>505.62</v>
      </c>
      <c r="E1081" s="4">
        <f>IFERROR(__xludf.DUMMYFUNCTION("""COMPUTED_VALUE"""),45854.66666666667)</f>
        <v>45854.66667</v>
      </c>
      <c r="F1081" s="1">
        <f>IFERROR(__xludf.DUMMYFUNCTION("""COMPUTED_VALUE"""),112.23)</f>
        <v>112.23</v>
      </c>
      <c r="G1081" s="4">
        <f>IFERROR(__xludf.DUMMYFUNCTION("""COMPUTED_VALUE"""),45854.66666666667)</f>
        <v>45854.66667</v>
      </c>
      <c r="H1081" s="1">
        <f>IFERROR(__xludf.DUMMYFUNCTION("""COMPUTED_VALUE"""),149.92)</f>
        <v>149.92</v>
      </c>
      <c r="I1081" s="5">
        <f t="shared" si="1"/>
        <v>-0.0006661591169</v>
      </c>
      <c r="K1081" s="5">
        <f t="shared" si="2"/>
        <v>0.01202484079</v>
      </c>
      <c r="L1081" s="5">
        <f t="shared" si="3"/>
        <v>-0.005078855921</v>
      </c>
      <c r="M1081" s="5">
        <f t="shared" si="4"/>
        <v>0.009738527215</v>
      </c>
      <c r="Q1081" s="5"/>
    </row>
    <row r="1082">
      <c r="A1082" s="4">
        <f>IFERROR(__xludf.DUMMYFUNCTION("""COMPUTED_VALUE"""),45855.66666666667)</f>
        <v>45855.66667</v>
      </c>
      <c r="B1082" s="1">
        <f>IFERROR(__xludf.DUMMYFUNCTION("""COMPUTED_VALUE"""),210.02)</f>
        <v>210.02</v>
      </c>
      <c r="C1082" s="4">
        <f>IFERROR(__xludf.DUMMYFUNCTION("""COMPUTED_VALUE"""),45855.66666666667)</f>
        <v>45855.66667</v>
      </c>
      <c r="D1082" s="1">
        <f>IFERROR(__xludf.DUMMYFUNCTION("""COMPUTED_VALUE"""),511.7)</f>
        <v>511.7</v>
      </c>
      <c r="E1082" s="4">
        <f>IFERROR(__xludf.DUMMYFUNCTION("""COMPUTED_VALUE"""),45855.66666666667)</f>
        <v>45855.66667</v>
      </c>
      <c r="F1082" s="1">
        <f>IFERROR(__xludf.DUMMYFUNCTION("""COMPUTED_VALUE"""),111.66)</f>
        <v>111.66</v>
      </c>
      <c r="G1082" s="4">
        <f>IFERROR(__xludf.DUMMYFUNCTION("""COMPUTED_VALUE"""),45855.66666666667)</f>
        <v>45855.66667</v>
      </c>
      <c r="H1082" s="1">
        <f>IFERROR(__xludf.DUMMYFUNCTION("""COMPUTED_VALUE"""),151.38)</f>
        <v>151.38</v>
      </c>
      <c r="I1082" s="5">
        <f t="shared" si="1"/>
        <v>0.005523283497</v>
      </c>
      <c r="K1082" s="5">
        <f t="shared" si="2"/>
        <v>-0.003224545632</v>
      </c>
      <c r="L1082" s="5">
        <f t="shared" si="3"/>
        <v>-0.03483790077</v>
      </c>
      <c r="M1082" s="5">
        <f t="shared" si="4"/>
        <v>-0.008851895891</v>
      </c>
      <c r="Q1082" s="5"/>
    </row>
    <row r="1083">
      <c r="A1083" s="4">
        <f>IFERROR(__xludf.DUMMYFUNCTION("""COMPUTED_VALUE"""),45856.66666666667)</f>
        <v>45856.66667</v>
      </c>
      <c r="B1083" s="1">
        <f>IFERROR(__xludf.DUMMYFUNCTION("""COMPUTED_VALUE"""),211.18)</f>
        <v>211.18</v>
      </c>
      <c r="C1083" s="4">
        <f>IFERROR(__xludf.DUMMYFUNCTION("""COMPUTED_VALUE"""),45856.66666666667)</f>
        <v>45856.66667</v>
      </c>
      <c r="D1083" s="1">
        <f>IFERROR(__xludf.DUMMYFUNCTION("""COMPUTED_VALUE"""),510.05)</f>
        <v>510.05</v>
      </c>
      <c r="E1083" s="4">
        <f>IFERROR(__xludf.DUMMYFUNCTION("""COMPUTED_VALUE"""),45856.66666666667)</f>
        <v>45856.66667</v>
      </c>
      <c r="F1083" s="1">
        <f>IFERROR(__xludf.DUMMYFUNCTION("""COMPUTED_VALUE"""),107.77)</f>
        <v>107.77</v>
      </c>
      <c r="G1083" s="4">
        <f>IFERROR(__xludf.DUMMYFUNCTION("""COMPUTED_VALUE"""),45856.66666666667)</f>
        <v>45856.66667</v>
      </c>
      <c r="H1083" s="1">
        <f>IFERROR(__xludf.DUMMYFUNCTION("""COMPUTED_VALUE"""),150.04)</f>
        <v>150.04</v>
      </c>
      <c r="I1083" s="5">
        <f t="shared" si="1"/>
        <v>0.006155885974</v>
      </c>
      <c r="K1083" s="5">
        <f t="shared" si="2"/>
        <v>0.00001960592099</v>
      </c>
      <c r="L1083" s="5">
        <f t="shared" si="3"/>
        <v>0.002598125638</v>
      </c>
      <c r="M1083" s="5">
        <f t="shared" si="4"/>
        <v>-0.002399360171</v>
      </c>
      <c r="Q1083" s="5"/>
    </row>
    <row r="1084">
      <c r="A1084" s="4">
        <f>IFERROR(__xludf.DUMMYFUNCTION("""COMPUTED_VALUE"""),45859.66666666667)</f>
        <v>45859.66667</v>
      </c>
      <c r="B1084" s="1">
        <f>IFERROR(__xludf.DUMMYFUNCTION("""COMPUTED_VALUE"""),212.48)</f>
        <v>212.48</v>
      </c>
      <c r="C1084" s="4">
        <f>IFERROR(__xludf.DUMMYFUNCTION("""COMPUTED_VALUE"""),45859.66666666667)</f>
        <v>45859.66667</v>
      </c>
      <c r="D1084" s="1">
        <f>IFERROR(__xludf.DUMMYFUNCTION("""COMPUTED_VALUE"""),510.06)</f>
        <v>510.06</v>
      </c>
      <c r="E1084" s="4">
        <f>IFERROR(__xludf.DUMMYFUNCTION("""COMPUTED_VALUE"""),45859.66666666667)</f>
        <v>45859.66667</v>
      </c>
      <c r="F1084" s="1">
        <f>IFERROR(__xludf.DUMMYFUNCTION("""COMPUTED_VALUE"""),108.05)</f>
        <v>108.05</v>
      </c>
      <c r="G1084" s="4">
        <f>IFERROR(__xludf.DUMMYFUNCTION("""COMPUTED_VALUE"""),45859.66666666667)</f>
        <v>45859.66667</v>
      </c>
      <c r="H1084" s="1">
        <f>IFERROR(__xludf.DUMMYFUNCTION("""COMPUTED_VALUE"""),149.68)</f>
        <v>149.68</v>
      </c>
      <c r="I1084" s="5">
        <f t="shared" si="1"/>
        <v>0.009036144578</v>
      </c>
      <c r="K1084" s="5">
        <f t="shared" si="2"/>
        <v>-0.009391052033</v>
      </c>
      <c r="L1084" s="5">
        <f t="shared" si="3"/>
        <v>0.004534937529</v>
      </c>
      <c r="M1084" s="5">
        <f t="shared" si="4"/>
        <v>0.002405130946</v>
      </c>
      <c r="Q1084" s="5"/>
    </row>
    <row r="1085">
      <c r="A1085" s="4">
        <f>IFERROR(__xludf.DUMMYFUNCTION("""COMPUTED_VALUE"""),45860.66666666667)</f>
        <v>45860.66667</v>
      </c>
      <c r="B1085" s="1">
        <f>IFERROR(__xludf.DUMMYFUNCTION("""COMPUTED_VALUE"""),214.4)</f>
        <v>214.4</v>
      </c>
      <c r="C1085" s="4">
        <f>IFERROR(__xludf.DUMMYFUNCTION("""COMPUTED_VALUE"""),45860.66666666667)</f>
        <v>45860.66667</v>
      </c>
      <c r="D1085" s="1">
        <f>IFERROR(__xludf.DUMMYFUNCTION("""COMPUTED_VALUE"""),505.27)</f>
        <v>505.27</v>
      </c>
      <c r="E1085" s="4">
        <f>IFERROR(__xludf.DUMMYFUNCTION("""COMPUTED_VALUE"""),45860.66666666667)</f>
        <v>45860.66667</v>
      </c>
      <c r="F1085" s="1">
        <f>IFERROR(__xludf.DUMMYFUNCTION("""COMPUTED_VALUE"""),108.54)</f>
        <v>108.54</v>
      </c>
      <c r="G1085" s="4">
        <f>IFERROR(__xludf.DUMMYFUNCTION("""COMPUTED_VALUE"""),45860.66666666667)</f>
        <v>45860.66667</v>
      </c>
      <c r="H1085" s="1">
        <f>IFERROR(__xludf.DUMMYFUNCTION("""COMPUTED_VALUE"""),150.04)</f>
        <v>150.04</v>
      </c>
      <c r="I1085" s="5">
        <f t="shared" si="1"/>
        <v>-0.001166044776</v>
      </c>
      <c r="K1085" s="5">
        <f t="shared" si="2"/>
        <v>0.001187483919</v>
      </c>
      <c r="L1085" s="5">
        <f t="shared" si="3"/>
        <v>0.01280633868</v>
      </c>
      <c r="M1085" s="5">
        <f t="shared" si="4"/>
        <v>0.02052785924</v>
      </c>
      <c r="Q1085" s="5"/>
    </row>
    <row r="1086">
      <c r="A1086" s="4">
        <f>IFERROR(__xludf.DUMMYFUNCTION("""COMPUTED_VALUE"""),45861.66666666667)</f>
        <v>45861.66667</v>
      </c>
      <c r="B1086" s="1">
        <f>IFERROR(__xludf.DUMMYFUNCTION("""COMPUTED_VALUE"""),214.15)</f>
        <v>214.15</v>
      </c>
      <c r="C1086" s="4">
        <f>IFERROR(__xludf.DUMMYFUNCTION("""COMPUTED_VALUE"""),45861.66666666667)</f>
        <v>45861.66667</v>
      </c>
      <c r="D1086" s="1">
        <f>IFERROR(__xludf.DUMMYFUNCTION("""COMPUTED_VALUE"""),505.87)</f>
        <v>505.87</v>
      </c>
      <c r="E1086" s="4">
        <f>IFERROR(__xludf.DUMMYFUNCTION("""COMPUTED_VALUE"""),45861.66666666667)</f>
        <v>45861.66667</v>
      </c>
      <c r="F1086" s="1">
        <f>IFERROR(__xludf.DUMMYFUNCTION("""COMPUTED_VALUE"""),109.93)</f>
        <v>109.93</v>
      </c>
      <c r="G1086" s="4">
        <f>IFERROR(__xludf.DUMMYFUNCTION("""COMPUTED_VALUE"""),45861.66666666667)</f>
        <v>45861.66667</v>
      </c>
      <c r="H1086" s="1">
        <f>IFERROR(__xludf.DUMMYFUNCTION("""COMPUTED_VALUE"""),153.12)</f>
        <v>153.12</v>
      </c>
      <c r="I1086" s="5">
        <f t="shared" si="1"/>
        <v>-0.001821153397</v>
      </c>
      <c r="K1086" s="5">
        <f t="shared" si="2"/>
        <v>0.009903730207</v>
      </c>
      <c r="L1086" s="5">
        <f t="shared" si="3"/>
        <v>0.007823160193</v>
      </c>
      <c r="M1086" s="5">
        <f t="shared" si="4"/>
        <v>0.0176985371</v>
      </c>
      <c r="Q1086" s="5"/>
    </row>
    <row r="1087">
      <c r="A1087" s="4">
        <f>IFERROR(__xludf.DUMMYFUNCTION("""COMPUTED_VALUE"""),45862.66666666667)</f>
        <v>45862.66667</v>
      </c>
      <c r="B1087" s="1">
        <f>IFERROR(__xludf.DUMMYFUNCTION("""COMPUTED_VALUE"""),213.76)</f>
        <v>213.76</v>
      </c>
      <c r="C1087" s="4">
        <f>IFERROR(__xludf.DUMMYFUNCTION("""COMPUTED_VALUE"""),45862.66666666667)</f>
        <v>45862.66667</v>
      </c>
      <c r="D1087" s="1">
        <f>IFERROR(__xludf.DUMMYFUNCTION("""COMPUTED_VALUE"""),510.88)</f>
        <v>510.88</v>
      </c>
      <c r="E1087" s="4">
        <f>IFERROR(__xludf.DUMMYFUNCTION("""COMPUTED_VALUE"""),45862.66666666667)</f>
        <v>45862.66667</v>
      </c>
      <c r="F1087" s="1">
        <f>IFERROR(__xludf.DUMMYFUNCTION("""COMPUTED_VALUE"""),110.79)</f>
        <v>110.79</v>
      </c>
      <c r="G1087" s="4">
        <f>IFERROR(__xludf.DUMMYFUNCTION("""COMPUTED_VALUE"""),45862.66666666667)</f>
        <v>45862.66667</v>
      </c>
      <c r="H1087" s="1">
        <f>IFERROR(__xludf.DUMMYFUNCTION("""COMPUTED_VALUE"""),155.83)</f>
        <v>155.83</v>
      </c>
      <c r="I1087" s="5">
        <f t="shared" si="1"/>
        <v>0.0005613772455</v>
      </c>
      <c r="K1087" s="5">
        <f t="shared" si="2"/>
        <v>0.005539461322</v>
      </c>
      <c r="L1087" s="5">
        <f t="shared" si="3"/>
        <v>-0.003520173301</v>
      </c>
      <c r="M1087" s="5">
        <f t="shared" si="4"/>
        <v>-0.006353077071</v>
      </c>
      <c r="Q1087" s="5"/>
    </row>
    <row r="1088">
      <c r="A1088" s="4">
        <f>IFERROR(__xludf.DUMMYFUNCTION("""COMPUTED_VALUE"""),45863.66666666667)</f>
        <v>45863.66667</v>
      </c>
      <c r="B1088" s="1">
        <f>IFERROR(__xludf.DUMMYFUNCTION("""COMPUTED_VALUE"""),213.88)</f>
        <v>213.88</v>
      </c>
      <c r="C1088" s="4">
        <f>IFERROR(__xludf.DUMMYFUNCTION("""COMPUTED_VALUE"""),45863.66666666667)</f>
        <v>45863.66667</v>
      </c>
      <c r="D1088" s="1">
        <f>IFERROR(__xludf.DUMMYFUNCTION("""COMPUTED_VALUE"""),513.71)</f>
        <v>513.71</v>
      </c>
      <c r="E1088" s="4">
        <f>IFERROR(__xludf.DUMMYFUNCTION("""COMPUTED_VALUE"""),45863.66666666667)</f>
        <v>45863.66667</v>
      </c>
      <c r="F1088" s="1">
        <f>IFERROR(__xludf.DUMMYFUNCTION("""COMPUTED_VALUE"""),110.4)</f>
        <v>110.4</v>
      </c>
      <c r="G1088" s="4">
        <f>IFERROR(__xludf.DUMMYFUNCTION("""COMPUTED_VALUE"""),45863.66666666667)</f>
        <v>45863.66667</v>
      </c>
      <c r="H1088" s="1">
        <f>IFERROR(__xludf.DUMMYFUNCTION("""COMPUTED_VALUE"""),154.84)</f>
        <v>154.84</v>
      </c>
      <c r="I1088" s="5">
        <f t="shared" si="1"/>
        <v>0.000794838227</v>
      </c>
      <c r="K1088" s="5">
        <f t="shared" si="2"/>
        <v>-0.002355414533</v>
      </c>
      <c r="L1088" s="5">
        <f t="shared" si="3"/>
        <v>0.009420289855</v>
      </c>
      <c r="M1088" s="5">
        <f t="shared" si="4"/>
        <v>0.009299922501</v>
      </c>
      <c r="Q1088" s="5"/>
    </row>
    <row r="1089">
      <c r="A1089" s="4">
        <f>IFERROR(__xludf.DUMMYFUNCTION("""COMPUTED_VALUE"""),45866.66666666667)</f>
        <v>45866.66667</v>
      </c>
      <c r="B1089" s="1">
        <f>IFERROR(__xludf.DUMMYFUNCTION("""COMPUTED_VALUE"""),214.05)</f>
        <v>214.05</v>
      </c>
      <c r="C1089" s="4">
        <f>IFERROR(__xludf.DUMMYFUNCTION("""COMPUTED_VALUE"""),45866.66666666667)</f>
        <v>45866.66667</v>
      </c>
      <c r="D1089" s="1">
        <f>IFERROR(__xludf.DUMMYFUNCTION("""COMPUTED_VALUE"""),512.5)</f>
        <v>512.5</v>
      </c>
      <c r="E1089" s="4">
        <f>IFERROR(__xludf.DUMMYFUNCTION("""COMPUTED_VALUE"""),45866.66666666667)</f>
        <v>45866.66667</v>
      </c>
      <c r="F1089" s="1">
        <f>IFERROR(__xludf.DUMMYFUNCTION("""COMPUTED_VALUE"""),111.44)</f>
        <v>111.44</v>
      </c>
      <c r="G1089" s="4">
        <f>IFERROR(__xludf.DUMMYFUNCTION("""COMPUTED_VALUE"""),45866.66666666667)</f>
        <v>45866.66667</v>
      </c>
      <c r="H1089" s="1">
        <f>IFERROR(__xludf.DUMMYFUNCTION("""COMPUTED_VALUE"""),156.28)</f>
        <v>156.28</v>
      </c>
      <c r="I1089" s="5">
        <f t="shared" si="1"/>
        <v>-0.01298761972</v>
      </c>
      <c r="K1089" s="5">
        <f t="shared" si="2"/>
        <v>0.0001365853659</v>
      </c>
      <c r="L1089" s="5">
        <f t="shared" si="3"/>
        <v>0.01292175162</v>
      </c>
      <c r="M1089" s="5">
        <f t="shared" si="4"/>
        <v>0.004799078577</v>
      </c>
      <c r="Q1089" s="5"/>
    </row>
    <row r="1090">
      <c r="A1090" s="4">
        <f>IFERROR(__xludf.DUMMYFUNCTION("""COMPUTED_VALUE"""),45867.66666666667)</f>
        <v>45867.66667</v>
      </c>
      <c r="B1090" s="1">
        <f>IFERROR(__xludf.DUMMYFUNCTION("""COMPUTED_VALUE"""),211.27)</f>
        <v>211.27</v>
      </c>
      <c r="C1090" s="4">
        <f>IFERROR(__xludf.DUMMYFUNCTION("""COMPUTED_VALUE"""),45867.66666666667)</f>
        <v>45867.66667</v>
      </c>
      <c r="D1090" s="1">
        <f>IFERROR(__xludf.DUMMYFUNCTION("""COMPUTED_VALUE"""),512.57)</f>
        <v>512.57</v>
      </c>
      <c r="E1090" s="4">
        <f>IFERROR(__xludf.DUMMYFUNCTION("""COMPUTED_VALUE"""),45867.66666666667)</f>
        <v>45867.66667</v>
      </c>
      <c r="F1090" s="1">
        <f>IFERROR(__xludf.DUMMYFUNCTION("""COMPUTED_VALUE"""),112.88)</f>
        <v>112.88</v>
      </c>
      <c r="G1090" s="4">
        <f>IFERROR(__xludf.DUMMYFUNCTION("""COMPUTED_VALUE"""),45867.66666666667)</f>
        <v>45867.66667</v>
      </c>
      <c r="H1090" s="1">
        <f>IFERROR(__xludf.DUMMYFUNCTION("""COMPUTED_VALUE"""),157.03)</f>
        <v>157.03</v>
      </c>
      <c r="I1090" s="5">
        <f t="shared" si="1"/>
        <v>-0.01050788091</v>
      </c>
      <c r="K1090" s="5">
        <f t="shared" si="2"/>
        <v>0.001307138537</v>
      </c>
      <c r="L1090" s="5">
        <f t="shared" si="3"/>
        <v>-0.008681785967</v>
      </c>
      <c r="M1090" s="5">
        <f t="shared" si="4"/>
        <v>-0.02209768834</v>
      </c>
      <c r="Q1090" s="5"/>
    </row>
    <row r="1091">
      <c r="A1091" s="4">
        <f>IFERROR(__xludf.DUMMYFUNCTION("""COMPUTED_VALUE"""),45868.66666666667)</f>
        <v>45868.66667</v>
      </c>
      <c r="B1091" s="1">
        <f>IFERROR(__xludf.DUMMYFUNCTION("""COMPUTED_VALUE"""),209.05)</f>
        <v>209.05</v>
      </c>
      <c r="C1091" s="4">
        <f>IFERROR(__xludf.DUMMYFUNCTION("""COMPUTED_VALUE"""),45868.66666666667)</f>
        <v>45868.66667</v>
      </c>
      <c r="D1091" s="1">
        <f>IFERROR(__xludf.DUMMYFUNCTION("""COMPUTED_VALUE"""),513.24)</f>
        <v>513.24</v>
      </c>
      <c r="E1091" s="4">
        <f>IFERROR(__xludf.DUMMYFUNCTION("""COMPUTED_VALUE"""),45868.66666666667)</f>
        <v>45868.66667</v>
      </c>
      <c r="F1091" s="1">
        <f>IFERROR(__xludf.DUMMYFUNCTION("""COMPUTED_VALUE"""),111.9)</f>
        <v>111.9</v>
      </c>
      <c r="G1091" s="4">
        <f>IFERROR(__xludf.DUMMYFUNCTION("""COMPUTED_VALUE"""),45868.66666666667)</f>
        <v>45868.66667</v>
      </c>
      <c r="H1091" s="1">
        <f>IFERROR(__xludf.DUMMYFUNCTION("""COMPUTED_VALUE"""),153.56)</f>
        <v>153.56</v>
      </c>
      <c r="I1091" s="5">
        <f t="shared" si="1"/>
        <v>-0.007079646018</v>
      </c>
      <c r="K1091" s="5">
        <f t="shared" si="2"/>
        <v>0.03947470969</v>
      </c>
      <c r="L1091" s="5">
        <f t="shared" si="3"/>
        <v>-0.002323503128</v>
      </c>
      <c r="M1091" s="5">
        <f t="shared" si="4"/>
        <v>-0.01250325606</v>
      </c>
      <c r="Q1091" s="5"/>
    </row>
    <row r="1092">
      <c r="A1092" s="4">
        <f>IFERROR(__xludf.DUMMYFUNCTION("""COMPUTED_VALUE"""),45869.66666666667)</f>
        <v>45869.66667</v>
      </c>
      <c r="B1092" s="1">
        <f>IFERROR(__xludf.DUMMYFUNCTION("""COMPUTED_VALUE"""),207.57)</f>
        <v>207.57</v>
      </c>
      <c r="C1092" s="4">
        <f>IFERROR(__xludf.DUMMYFUNCTION("""COMPUTED_VALUE"""),45869.66666666667)</f>
        <v>45869.66667</v>
      </c>
      <c r="D1092" s="1">
        <f>IFERROR(__xludf.DUMMYFUNCTION("""COMPUTED_VALUE"""),533.5)</f>
        <v>533.5</v>
      </c>
      <c r="E1092" s="4">
        <f>IFERROR(__xludf.DUMMYFUNCTION("""COMPUTED_VALUE"""),45869.66666666667)</f>
        <v>45869.66667</v>
      </c>
      <c r="F1092" s="1">
        <f>IFERROR(__xludf.DUMMYFUNCTION("""COMPUTED_VALUE"""),111.64)</f>
        <v>111.64</v>
      </c>
      <c r="G1092" s="4">
        <f>IFERROR(__xludf.DUMMYFUNCTION("""COMPUTED_VALUE"""),45869.66666666667)</f>
        <v>45869.66667</v>
      </c>
      <c r="H1092" s="1">
        <f>IFERROR(__xludf.DUMMYFUNCTION("""COMPUTED_VALUE"""),151.64)</f>
        <v>151.64</v>
      </c>
      <c r="I1092" s="5">
        <f t="shared" si="1"/>
        <v>-0.02500361324</v>
      </c>
      <c r="K1092" s="5">
        <f t="shared" si="2"/>
        <v>-0.01760074977</v>
      </c>
      <c r="L1092" s="5">
        <f t="shared" si="3"/>
        <v>-0.0179147259</v>
      </c>
      <c r="M1092" s="5">
        <f t="shared" si="4"/>
        <v>-0.001582695859</v>
      </c>
      <c r="Q1092" s="5"/>
    </row>
    <row r="1093">
      <c r="A1093" s="4">
        <f>IFERROR(__xludf.DUMMYFUNCTION("""COMPUTED_VALUE"""),45870.66666666667)</f>
        <v>45870.66667</v>
      </c>
      <c r="B1093" s="1">
        <f>IFERROR(__xludf.DUMMYFUNCTION("""COMPUTED_VALUE"""),202.38)</f>
        <v>202.38</v>
      </c>
      <c r="C1093" s="4">
        <f>IFERROR(__xludf.DUMMYFUNCTION("""COMPUTED_VALUE"""),45870.66666666667)</f>
        <v>45870.66667</v>
      </c>
      <c r="D1093" s="1">
        <f>IFERROR(__xludf.DUMMYFUNCTION("""COMPUTED_VALUE"""),524.11)</f>
        <v>524.11</v>
      </c>
      <c r="E1093" s="4">
        <f>IFERROR(__xludf.DUMMYFUNCTION("""COMPUTED_VALUE"""),45870.66666666667)</f>
        <v>45870.66667</v>
      </c>
      <c r="F1093" s="1">
        <f>IFERROR(__xludf.DUMMYFUNCTION("""COMPUTED_VALUE"""),109.64)</f>
        <v>109.64</v>
      </c>
      <c r="G1093" s="4">
        <f>IFERROR(__xludf.DUMMYFUNCTION("""COMPUTED_VALUE"""),45870.66666666667)</f>
        <v>45870.66667</v>
      </c>
      <c r="H1093" s="1">
        <f>IFERROR(__xludf.DUMMYFUNCTION("""COMPUTED_VALUE"""),151.4)</f>
        <v>151.4</v>
      </c>
      <c r="I1093" s="5">
        <f t="shared" si="1"/>
        <v>0.004792963732</v>
      </c>
      <c r="K1093" s="5">
        <f t="shared" si="2"/>
        <v>0.02199919864</v>
      </c>
      <c r="L1093" s="5">
        <f t="shared" si="3"/>
        <v>-0.02070412258</v>
      </c>
      <c r="M1093" s="5">
        <f t="shared" si="4"/>
        <v>-0.002377807133</v>
      </c>
      <c r="Q1093" s="5"/>
    </row>
    <row r="1094">
      <c r="A1094" s="4">
        <f>IFERROR(__xludf.DUMMYFUNCTION("""COMPUTED_VALUE"""),45873.66666666667)</f>
        <v>45873.66667</v>
      </c>
      <c r="B1094" s="1">
        <f>IFERROR(__xludf.DUMMYFUNCTION("""COMPUTED_VALUE"""),203.35)</f>
        <v>203.35</v>
      </c>
      <c r="C1094" s="4">
        <f>IFERROR(__xludf.DUMMYFUNCTION("""COMPUTED_VALUE"""),45873.66666666667)</f>
        <v>45873.66667</v>
      </c>
      <c r="D1094" s="1">
        <f>IFERROR(__xludf.DUMMYFUNCTION("""COMPUTED_VALUE"""),535.64)</f>
        <v>535.64</v>
      </c>
      <c r="E1094" s="4">
        <f>IFERROR(__xludf.DUMMYFUNCTION("""COMPUTED_VALUE"""),45873.66666666667)</f>
        <v>45873.66667</v>
      </c>
      <c r="F1094" s="1">
        <f>IFERROR(__xludf.DUMMYFUNCTION("""COMPUTED_VALUE"""),107.37)</f>
        <v>107.37</v>
      </c>
      <c r="G1094" s="4">
        <f>IFERROR(__xludf.DUMMYFUNCTION("""COMPUTED_VALUE"""),45873.66666666667)</f>
        <v>45873.66667</v>
      </c>
      <c r="H1094" s="1">
        <f>IFERROR(__xludf.DUMMYFUNCTION("""COMPUTED_VALUE"""),151.04)</f>
        <v>151.04</v>
      </c>
      <c r="I1094" s="5">
        <f t="shared" si="1"/>
        <v>-0.002114580772</v>
      </c>
      <c r="K1094" s="5">
        <f t="shared" si="2"/>
        <v>-0.01473004257</v>
      </c>
      <c r="L1094" s="5">
        <f t="shared" si="3"/>
        <v>-0.001210766508</v>
      </c>
      <c r="M1094" s="5">
        <f t="shared" si="4"/>
        <v>0.01324152542</v>
      </c>
      <c r="Q1094" s="5"/>
    </row>
    <row r="1095">
      <c r="A1095" s="4">
        <f>IFERROR(__xludf.DUMMYFUNCTION("""COMPUTED_VALUE"""),45874.66666666667)</f>
        <v>45874.66667</v>
      </c>
      <c r="B1095" s="1">
        <f>IFERROR(__xludf.DUMMYFUNCTION("""COMPUTED_VALUE"""),202.92)</f>
        <v>202.92</v>
      </c>
      <c r="C1095" s="4">
        <f>IFERROR(__xludf.DUMMYFUNCTION("""COMPUTED_VALUE"""),45874.66666666667)</f>
        <v>45874.66667</v>
      </c>
      <c r="D1095" s="1">
        <f>IFERROR(__xludf.DUMMYFUNCTION("""COMPUTED_VALUE"""),527.75)</f>
        <v>527.75</v>
      </c>
      <c r="E1095" s="4">
        <f>IFERROR(__xludf.DUMMYFUNCTION("""COMPUTED_VALUE"""),45874.66666666667)</f>
        <v>45874.66667</v>
      </c>
      <c r="F1095" s="1">
        <f>IFERROR(__xludf.DUMMYFUNCTION("""COMPUTED_VALUE"""),107.24)</f>
        <v>107.24</v>
      </c>
      <c r="G1095" s="4">
        <f>IFERROR(__xludf.DUMMYFUNCTION("""COMPUTED_VALUE"""),45874.66666666667)</f>
        <v>45874.66667</v>
      </c>
      <c r="H1095" s="1">
        <f>IFERROR(__xludf.DUMMYFUNCTION("""COMPUTED_VALUE"""),153.04)</f>
        <v>153.04</v>
      </c>
      <c r="I1095" s="5">
        <f t="shared" si="1"/>
        <v>0.05090676129</v>
      </c>
      <c r="K1095" s="5">
        <f t="shared" si="2"/>
        <v>-0.005324490763</v>
      </c>
      <c r="L1095" s="5">
        <f t="shared" si="3"/>
        <v>-0.006807161507</v>
      </c>
      <c r="M1095" s="5">
        <f t="shared" si="4"/>
        <v>-0.001698902248</v>
      </c>
      <c r="Q1095" s="5"/>
    </row>
    <row r="1096">
      <c r="A1096" s="4">
        <f>IFERROR(__xludf.DUMMYFUNCTION("""COMPUTED_VALUE"""),45875.66666666667)</f>
        <v>45875.66667</v>
      </c>
      <c r="B1096" s="1">
        <f>IFERROR(__xludf.DUMMYFUNCTION("""COMPUTED_VALUE"""),213.25)</f>
        <v>213.25</v>
      </c>
      <c r="C1096" s="4">
        <f>IFERROR(__xludf.DUMMYFUNCTION("""COMPUTED_VALUE"""),45875.66666666667)</f>
        <v>45875.66667</v>
      </c>
      <c r="D1096" s="1">
        <f>IFERROR(__xludf.DUMMYFUNCTION("""COMPUTED_VALUE"""),524.94)</f>
        <v>524.94</v>
      </c>
      <c r="E1096" s="4">
        <f>IFERROR(__xludf.DUMMYFUNCTION("""COMPUTED_VALUE"""),45875.66666666667)</f>
        <v>45875.66667</v>
      </c>
      <c r="F1096" s="1">
        <f>IFERROR(__xludf.DUMMYFUNCTION("""COMPUTED_VALUE"""),106.51)</f>
        <v>106.51</v>
      </c>
      <c r="G1096" s="4">
        <f>IFERROR(__xludf.DUMMYFUNCTION("""COMPUTED_VALUE"""),45875.66666666667)</f>
        <v>45875.66667</v>
      </c>
      <c r="H1096" s="1">
        <f>IFERROR(__xludf.DUMMYFUNCTION("""COMPUTED_VALUE"""),152.78)</f>
        <v>152.78</v>
      </c>
      <c r="I1096" s="5">
        <f t="shared" si="1"/>
        <v>0.0317936694</v>
      </c>
      <c r="K1096" s="5">
        <f t="shared" si="2"/>
        <v>-0.007810416429</v>
      </c>
      <c r="L1096" s="5">
        <f t="shared" si="3"/>
        <v>-0.00525772228</v>
      </c>
      <c r="M1096" s="5">
        <f t="shared" si="4"/>
        <v>0.002487236549</v>
      </c>
      <c r="Q1096" s="5"/>
    </row>
    <row r="1097">
      <c r="A1097" s="4">
        <f>IFERROR(__xludf.DUMMYFUNCTION("""COMPUTED_VALUE"""),45876.66666666667)</f>
        <v>45876.66667</v>
      </c>
      <c r="B1097" s="1">
        <f>IFERROR(__xludf.DUMMYFUNCTION("""COMPUTED_VALUE"""),220.03)</f>
        <v>220.03</v>
      </c>
      <c r="C1097" s="4">
        <f>IFERROR(__xludf.DUMMYFUNCTION("""COMPUTED_VALUE"""),45876.66666666667)</f>
        <v>45876.66667</v>
      </c>
      <c r="D1097" s="1">
        <f>IFERROR(__xludf.DUMMYFUNCTION("""COMPUTED_VALUE"""),520.84)</f>
        <v>520.84</v>
      </c>
      <c r="E1097" s="4">
        <f>IFERROR(__xludf.DUMMYFUNCTION("""COMPUTED_VALUE"""),45876.66666666667)</f>
        <v>45876.66667</v>
      </c>
      <c r="F1097" s="1">
        <f>IFERROR(__xludf.DUMMYFUNCTION("""COMPUTED_VALUE"""),105.95)</f>
        <v>105.95</v>
      </c>
      <c r="G1097" s="4">
        <f>IFERROR(__xludf.DUMMYFUNCTION("""COMPUTED_VALUE"""),45876.66666666667)</f>
        <v>45876.66667</v>
      </c>
      <c r="H1097" s="1">
        <f>IFERROR(__xludf.DUMMYFUNCTION("""COMPUTED_VALUE"""),153.16)</f>
        <v>153.16</v>
      </c>
      <c r="I1097" s="5">
        <f t="shared" si="1"/>
        <v>0.04235786029</v>
      </c>
      <c r="K1097" s="5">
        <f t="shared" si="2"/>
        <v>0.002303970509</v>
      </c>
      <c r="L1097" s="5">
        <f t="shared" si="3"/>
        <v>0.008022652194</v>
      </c>
      <c r="M1097" s="5">
        <f t="shared" si="4"/>
        <v>0.01207887177</v>
      </c>
      <c r="Q1097" s="5"/>
    </row>
    <row r="1098">
      <c r="A1098" s="4">
        <f>IFERROR(__xludf.DUMMYFUNCTION("""COMPUTED_VALUE"""),45877.66666666667)</f>
        <v>45877.66667</v>
      </c>
      <c r="B1098" s="1">
        <f>IFERROR(__xludf.DUMMYFUNCTION("""COMPUTED_VALUE"""),229.35)</f>
        <v>229.35</v>
      </c>
      <c r="C1098" s="4">
        <f>IFERROR(__xludf.DUMMYFUNCTION("""COMPUTED_VALUE"""),45877.66666666667)</f>
        <v>45877.66667</v>
      </c>
      <c r="D1098" s="1">
        <f>IFERROR(__xludf.DUMMYFUNCTION("""COMPUTED_VALUE"""),522.04)</f>
        <v>522.04</v>
      </c>
      <c r="E1098" s="4">
        <f>IFERROR(__xludf.DUMMYFUNCTION("""COMPUTED_VALUE"""),45877.66666666667)</f>
        <v>45877.66667</v>
      </c>
      <c r="F1098" s="1">
        <f>IFERROR(__xludf.DUMMYFUNCTION("""COMPUTED_VALUE"""),106.8)</f>
        <v>106.8</v>
      </c>
      <c r="G1098" s="4">
        <f>IFERROR(__xludf.DUMMYFUNCTION("""COMPUTED_VALUE"""),45877.66666666667)</f>
        <v>45877.66667</v>
      </c>
      <c r="H1098" s="1">
        <f>IFERROR(__xludf.DUMMYFUNCTION("""COMPUTED_VALUE"""),155.01)</f>
        <v>155.01</v>
      </c>
      <c r="I1098" s="5">
        <f t="shared" si="1"/>
        <v>-0.009461521692</v>
      </c>
      <c r="K1098" s="5">
        <f t="shared" si="2"/>
        <v>-0.000517201747</v>
      </c>
      <c r="L1098" s="5">
        <f t="shared" si="3"/>
        <v>-0.009082397004</v>
      </c>
      <c r="M1098" s="5">
        <f t="shared" si="4"/>
        <v>-0.01006386685</v>
      </c>
      <c r="Q1098" s="5"/>
    </row>
    <row r="1099">
      <c r="A1099" s="4">
        <f>IFERROR(__xludf.DUMMYFUNCTION("""COMPUTED_VALUE"""),45880.66666666667)</f>
        <v>45880.66667</v>
      </c>
      <c r="B1099" s="1">
        <f>IFERROR(__xludf.DUMMYFUNCTION("""COMPUTED_VALUE"""),227.18)</f>
        <v>227.18</v>
      </c>
      <c r="C1099" s="4">
        <f>IFERROR(__xludf.DUMMYFUNCTION("""COMPUTED_VALUE"""),45880.66666666667)</f>
        <v>45880.66667</v>
      </c>
      <c r="D1099" s="1">
        <f>IFERROR(__xludf.DUMMYFUNCTION("""COMPUTED_VALUE"""),521.77)</f>
        <v>521.77</v>
      </c>
      <c r="E1099" s="4">
        <f>IFERROR(__xludf.DUMMYFUNCTION("""COMPUTED_VALUE"""),45880.66666666667)</f>
        <v>45880.66667</v>
      </c>
      <c r="F1099" s="1">
        <f>IFERROR(__xludf.DUMMYFUNCTION("""COMPUTED_VALUE"""),105.83)</f>
        <v>105.83</v>
      </c>
      <c r="G1099" s="4">
        <f>IFERROR(__xludf.DUMMYFUNCTION("""COMPUTED_VALUE"""),45880.66666666667)</f>
        <v>45880.66667</v>
      </c>
      <c r="H1099" s="1">
        <f>IFERROR(__xludf.DUMMYFUNCTION("""COMPUTED_VALUE"""),153.45)</f>
        <v>153.45</v>
      </c>
      <c r="I1099" s="5">
        <f t="shared" si="1"/>
        <v>0.01087243595</v>
      </c>
      <c r="K1099" s="5">
        <f t="shared" si="2"/>
        <v>0.01431665293</v>
      </c>
      <c r="L1099" s="5">
        <f t="shared" si="3"/>
        <v>0.002834734952</v>
      </c>
      <c r="M1099" s="5">
        <f t="shared" si="4"/>
        <v>0.006451612903</v>
      </c>
      <c r="Q1099" s="5"/>
    </row>
    <row r="1100">
      <c r="A1100" s="4">
        <f>IFERROR(__xludf.DUMMYFUNCTION("""COMPUTED_VALUE"""),45881.66666666667)</f>
        <v>45881.66667</v>
      </c>
      <c r="B1100" s="1">
        <f>IFERROR(__xludf.DUMMYFUNCTION("""COMPUTED_VALUE"""),229.65)</f>
        <v>229.65</v>
      </c>
      <c r="C1100" s="4">
        <f>IFERROR(__xludf.DUMMYFUNCTION("""COMPUTED_VALUE"""),45881.66666666667)</f>
        <v>45881.66667</v>
      </c>
      <c r="D1100" s="1">
        <f>IFERROR(__xludf.DUMMYFUNCTION("""COMPUTED_VALUE"""),529.24)</f>
        <v>529.24</v>
      </c>
      <c r="E1100" s="4">
        <f>IFERROR(__xludf.DUMMYFUNCTION("""COMPUTED_VALUE"""),45881.66666666667)</f>
        <v>45881.66667</v>
      </c>
      <c r="F1100" s="1">
        <f>IFERROR(__xludf.DUMMYFUNCTION("""COMPUTED_VALUE"""),106.13)</f>
        <v>106.13</v>
      </c>
      <c r="G1100" s="4">
        <f>IFERROR(__xludf.DUMMYFUNCTION("""COMPUTED_VALUE"""),45881.66666666667)</f>
        <v>45881.66667</v>
      </c>
      <c r="H1100" s="1">
        <f>IFERROR(__xludf.DUMMYFUNCTION("""COMPUTED_VALUE"""),154.44)</f>
        <v>154.44</v>
      </c>
      <c r="I1100" s="5">
        <f t="shared" si="1"/>
        <v>0.01602438493</v>
      </c>
      <c r="K1100" s="5">
        <f t="shared" si="2"/>
        <v>-0.01636308669</v>
      </c>
      <c r="L1100" s="5">
        <f t="shared" si="3"/>
        <v>0.01385093753</v>
      </c>
      <c r="M1100" s="5">
        <f t="shared" si="4"/>
        <v>0.009259259259</v>
      </c>
      <c r="Q1100" s="5"/>
    </row>
    <row r="1101">
      <c r="A1101" s="4">
        <f>IFERROR(__xludf.DUMMYFUNCTION("""COMPUTED_VALUE"""),45882.66666666667)</f>
        <v>45882.66667</v>
      </c>
      <c r="B1101" s="1">
        <f>IFERROR(__xludf.DUMMYFUNCTION("""COMPUTED_VALUE"""),233.33)</f>
        <v>233.33</v>
      </c>
      <c r="C1101" s="4">
        <f>IFERROR(__xludf.DUMMYFUNCTION("""COMPUTED_VALUE"""),45882.66666666667)</f>
        <v>45882.66667</v>
      </c>
      <c r="D1101" s="1">
        <f>IFERROR(__xludf.DUMMYFUNCTION("""COMPUTED_VALUE"""),520.58)</f>
        <v>520.58</v>
      </c>
      <c r="E1101" s="4">
        <f>IFERROR(__xludf.DUMMYFUNCTION("""COMPUTED_VALUE"""),45882.66666666667)</f>
        <v>45882.66667</v>
      </c>
      <c r="F1101" s="1">
        <f>IFERROR(__xludf.DUMMYFUNCTION("""COMPUTED_VALUE"""),107.6)</f>
        <v>107.6</v>
      </c>
      <c r="G1101" s="4">
        <f>IFERROR(__xludf.DUMMYFUNCTION("""COMPUTED_VALUE"""),45882.66666666667)</f>
        <v>45882.66667</v>
      </c>
      <c r="H1101" s="1">
        <f>IFERROR(__xludf.DUMMYFUNCTION("""COMPUTED_VALUE"""),155.87)</f>
        <v>155.87</v>
      </c>
      <c r="I1101" s="5">
        <f t="shared" si="1"/>
        <v>-0.002357176531</v>
      </c>
      <c r="K1101" s="5">
        <f t="shared" si="2"/>
        <v>0.003649775251</v>
      </c>
      <c r="L1101" s="5">
        <f t="shared" si="3"/>
        <v>-0.002044609665</v>
      </c>
      <c r="M1101" s="5">
        <f t="shared" si="4"/>
        <v>-0.00455507795</v>
      </c>
      <c r="Q1101" s="5"/>
    </row>
    <row r="1102">
      <c r="A1102" s="4">
        <f>IFERROR(__xludf.DUMMYFUNCTION("""COMPUTED_VALUE"""),45883.66666666667)</f>
        <v>45883.66667</v>
      </c>
      <c r="B1102" s="1">
        <f>IFERROR(__xludf.DUMMYFUNCTION("""COMPUTED_VALUE"""),232.78)</f>
        <v>232.78</v>
      </c>
      <c r="C1102" s="4">
        <f>IFERROR(__xludf.DUMMYFUNCTION("""COMPUTED_VALUE"""),45883.66666666667)</f>
        <v>45883.66667</v>
      </c>
      <c r="D1102" s="1">
        <f>IFERROR(__xludf.DUMMYFUNCTION("""COMPUTED_VALUE"""),522.48)</f>
        <v>522.48</v>
      </c>
      <c r="E1102" s="4">
        <f>IFERROR(__xludf.DUMMYFUNCTION("""COMPUTED_VALUE"""),45883.66666666667)</f>
        <v>45883.66667</v>
      </c>
      <c r="F1102" s="1">
        <f>IFERROR(__xludf.DUMMYFUNCTION("""COMPUTED_VALUE"""),107.38)</f>
        <v>107.38</v>
      </c>
      <c r="G1102" s="4">
        <f>IFERROR(__xludf.DUMMYFUNCTION("""COMPUTED_VALUE"""),45883.66666666667)</f>
        <v>45883.66667</v>
      </c>
      <c r="H1102" s="1">
        <f>IFERROR(__xludf.DUMMYFUNCTION("""COMPUTED_VALUE"""),155.16)</f>
        <v>155.16</v>
      </c>
      <c r="I1102" s="5">
        <f t="shared" si="1"/>
        <v>-0.005112123035</v>
      </c>
      <c r="K1102" s="5">
        <f t="shared" si="2"/>
        <v>-0.004421221865</v>
      </c>
      <c r="L1102" s="5">
        <f t="shared" si="3"/>
        <v>-0.008288321848</v>
      </c>
      <c r="M1102" s="5">
        <f t="shared" si="4"/>
        <v>0.008958494457</v>
      </c>
      <c r="Q1102" s="5"/>
    </row>
    <row r="1103">
      <c r="A1103" s="4">
        <f>IFERROR(__xludf.DUMMYFUNCTION("""COMPUTED_VALUE"""),45884.66666666667)</f>
        <v>45884.66667</v>
      </c>
      <c r="B1103" s="1">
        <f>IFERROR(__xludf.DUMMYFUNCTION("""COMPUTED_VALUE"""),231.59)</f>
        <v>231.59</v>
      </c>
      <c r="C1103" s="4">
        <f>IFERROR(__xludf.DUMMYFUNCTION("""COMPUTED_VALUE"""),45884.66666666667)</f>
        <v>45884.66667</v>
      </c>
      <c r="D1103" s="1">
        <f>IFERROR(__xludf.DUMMYFUNCTION("""COMPUTED_VALUE"""),520.17)</f>
        <v>520.17</v>
      </c>
      <c r="E1103" s="4">
        <f>IFERROR(__xludf.DUMMYFUNCTION("""COMPUTED_VALUE"""),45884.66666666667)</f>
        <v>45884.66667</v>
      </c>
      <c r="F1103" s="1">
        <f>IFERROR(__xludf.DUMMYFUNCTION("""COMPUTED_VALUE"""),106.49)</f>
        <v>106.49</v>
      </c>
      <c r="G1103" s="4">
        <f>IFERROR(__xludf.DUMMYFUNCTION("""COMPUTED_VALUE"""),45884.66666666667)</f>
        <v>45884.66667</v>
      </c>
      <c r="H1103" s="1">
        <f>IFERROR(__xludf.DUMMYFUNCTION("""COMPUTED_VALUE"""),156.55)</f>
        <v>156.55</v>
      </c>
      <c r="I1103" s="5">
        <f t="shared" si="1"/>
        <v>-0.003022583013</v>
      </c>
      <c r="K1103" s="5">
        <f t="shared" si="2"/>
        <v>-0.005901916681</v>
      </c>
      <c r="L1103" s="5">
        <f t="shared" si="3"/>
        <v>0.002159827214</v>
      </c>
      <c r="M1103" s="5">
        <f t="shared" si="4"/>
        <v>-0.007856914724</v>
      </c>
      <c r="Q1103" s="5"/>
    </row>
    <row r="1104">
      <c r="A1104" s="4">
        <f>IFERROR(__xludf.DUMMYFUNCTION("""COMPUTED_VALUE"""),45887.66666666667)</f>
        <v>45887.66667</v>
      </c>
      <c r="B1104" s="1">
        <f>IFERROR(__xludf.DUMMYFUNCTION("""COMPUTED_VALUE"""),230.89)</f>
        <v>230.89</v>
      </c>
      <c r="C1104" s="4">
        <f>IFERROR(__xludf.DUMMYFUNCTION("""COMPUTED_VALUE"""),45887.66666666667)</f>
        <v>45887.66667</v>
      </c>
      <c r="D1104" s="1">
        <f>IFERROR(__xludf.DUMMYFUNCTION("""COMPUTED_VALUE"""),517.1)</f>
        <v>517.1</v>
      </c>
      <c r="E1104" s="4">
        <f>IFERROR(__xludf.DUMMYFUNCTION("""COMPUTED_VALUE"""),45887.66666666667)</f>
        <v>45887.66667</v>
      </c>
      <c r="F1104" s="1">
        <f>IFERROR(__xludf.DUMMYFUNCTION("""COMPUTED_VALUE"""),106.72)</f>
        <v>106.72</v>
      </c>
      <c r="G1104" s="4">
        <f>IFERROR(__xludf.DUMMYFUNCTION("""COMPUTED_VALUE"""),45887.66666666667)</f>
        <v>45887.66667</v>
      </c>
      <c r="H1104" s="1">
        <f>IFERROR(__xludf.DUMMYFUNCTION("""COMPUTED_VALUE"""),155.32)</f>
        <v>155.32</v>
      </c>
      <c r="I1104" s="5">
        <f t="shared" si="1"/>
        <v>-0.001429252025</v>
      </c>
      <c r="K1104" s="5">
        <f t="shared" si="2"/>
        <v>-0.01417520789</v>
      </c>
      <c r="L1104" s="5">
        <f t="shared" si="3"/>
        <v>0.00655922039</v>
      </c>
      <c r="M1104" s="5">
        <f t="shared" si="4"/>
        <v>-0.02137522534</v>
      </c>
      <c r="Q1104" s="5"/>
    </row>
    <row r="1105">
      <c r="A1105" s="4">
        <f>IFERROR(__xludf.DUMMYFUNCTION("""COMPUTED_VALUE"""),45888.66666666667)</f>
        <v>45888.66667</v>
      </c>
      <c r="B1105" s="1">
        <f>IFERROR(__xludf.DUMMYFUNCTION("""COMPUTED_VALUE"""),230.56)</f>
        <v>230.56</v>
      </c>
      <c r="C1105" s="4">
        <f>IFERROR(__xludf.DUMMYFUNCTION("""COMPUTED_VALUE"""),45888.66666666667)</f>
        <v>45888.66667</v>
      </c>
      <c r="D1105" s="1">
        <f>IFERROR(__xludf.DUMMYFUNCTION("""COMPUTED_VALUE"""),509.77)</f>
        <v>509.77</v>
      </c>
      <c r="E1105" s="4">
        <f>IFERROR(__xludf.DUMMYFUNCTION("""COMPUTED_VALUE"""),45888.66666666667)</f>
        <v>45888.66667</v>
      </c>
      <c r="F1105" s="1">
        <f>IFERROR(__xludf.DUMMYFUNCTION("""COMPUTED_VALUE"""),107.42)</f>
        <v>107.42</v>
      </c>
      <c r="G1105" s="4">
        <f>IFERROR(__xludf.DUMMYFUNCTION("""COMPUTED_VALUE"""),45888.66666666667)</f>
        <v>45888.66667</v>
      </c>
      <c r="H1105" s="1">
        <f>IFERROR(__xludf.DUMMYFUNCTION("""COMPUTED_VALUE"""),152.0)</f>
        <v>152</v>
      </c>
      <c r="I1105" s="5">
        <f t="shared" si="1"/>
        <v>-0.01973455933</v>
      </c>
      <c r="K1105" s="5">
        <f t="shared" si="2"/>
        <v>-0.007944759401</v>
      </c>
      <c r="L1105" s="5">
        <f t="shared" si="3"/>
        <v>0.01033327127</v>
      </c>
      <c r="M1105" s="5">
        <f t="shared" si="4"/>
        <v>0.008026315789</v>
      </c>
      <c r="Q1105" s="5"/>
    </row>
    <row r="1106">
      <c r="A1106" s="4">
        <f>IFERROR(__xludf.DUMMYFUNCTION("""COMPUTED_VALUE"""),45889.66666666667)</f>
        <v>45889.66667</v>
      </c>
      <c r="B1106" s="1">
        <f>IFERROR(__xludf.DUMMYFUNCTION("""COMPUTED_VALUE"""),226.01)</f>
        <v>226.01</v>
      </c>
      <c r="C1106" s="4">
        <f>IFERROR(__xludf.DUMMYFUNCTION("""COMPUTED_VALUE"""),45889.66666666667)</f>
        <v>45889.66667</v>
      </c>
      <c r="D1106" s="1">
        <f>IFERROR(__xludf.DUMMYFUNCTION("""COMPUTED_VALUE"""),505.72)</f>
        <v>505.72</v>
      </c>
      <c r="E1106" s="4">
        <f>IFERROR(__xludf.DUMMYFUNCTION("""COMPUTED_VALUE"""),45889.66666666667)</f>
        <v>45889.66667</v>
      </c>
      <c r="F1106" s="1">
        <f>IFERROR(__xludf.DUMMYFUNCTION("""COMPUTED_VALUE"""),108.53)</f>
        <v>108.53</v>
      </c>
      <c r="G1106" s="4">
        <f>IFERROR(__xludf.DUMMYFUNCTION("""COMPUTED_VALUE"""),45889.66666666667)</f>
        <v>45889.66667</v>
      </c>
      <c r="H1106" s="1">
        <f>IFERROR(__xludf.DUMMYFUNCTION("""COMPUTED_VALUE"""),153.22)</f>
        <v>153.22</v>
      </c>
      <c r="I1106" s="5">
        <f t="shared" si="1"/>
        <v>-0.004911287111</v>
      </c>
      <c r="K1106" s="5">
        <f t="shared" si="2"/>
        <v>-0.002926520604</v>
      </c>
      <c r="L1106" s="5">
        <f t="shared" si="3"/>
        <v>0.00644982954</v>
      </c>
      <c r="M1106" s="5">
        <f t="shared" si="4"/>
        <v>0.01520689205</v>
      </c>
      <c r="Q1106" s="5"/>
    </row>
    <row r="1107">
      <c r="A1107" s="4">
        <f>IFERROR(__xludf.DUMMYFUNCTION("""COMPUTED_VALUE"""),45890.66666666667)</f>
        <v>45890.66667</v>
      </c>
      <c r="B1107" s="1">
        <f>IFERROR(__xludf.DUMMYFUNCTION("""COMPUTED_VALUE"""),224.9)</f>
        <v>224.9</v>
      </c>
      <c r="C1107" s="4">
        <f>IFERROR(__xludf.DUMMYFUNCTION("""COMPUTED_VALUE"""),45890.66666666667)</f>
        <v>45890.66667</v>
      </c>
      <c r="D1107" s="1">
        <f>IFERROR(__xludf.DUMMYFUNCTION("""COMPUTED_VALUE"""),504.24)</f>
        <v>504.24</v>
      </c>
      <c r="E1107" s="4">
        <f>IFERROR(__xludf.DUMMYFUNCTION("""COMPUTED_VALUE"""),45890.66666666667)</f>
        <v>45890.66667</v>
      </c>
      <c r="F1107" s="1">
        <f>IFERROR(__xludf.DUMMYFUNCTION("""COMPUTED_VALUE"""),109.23)</f>
        <v>109.23</v>
      </c>
      <c r="G1107" s="4">
        <f>IFERROR(__xludf.DUMMYFUNCTION("""COMPUTED_VALUE"""),45890.66666666667)</f>
        <v>45890.66667</v>
      </c>
      <c r="H1107" s="1">
        <f>IFERROR(__xludf.DUMMYFUNCTION("""COMPUTED_VALUE"""),155.55)</f>
        <v>155.55</v>
      </c>
      <c r="I1107" s="5">
        <f t="shared" si="1"/>
        <v>0.01271676301</v>
      </c>
      <c r="K1107" s="5">
        <f t="shared" si="2"/>
        <v>0.005929716008</v>
      </c>
      <c r="L1107" s="5">
        <f t="shared" si="3"/>
        <v>0.0187677378</v>
      </c>
      <c r="M1107" s="5">
        <f t="shared" si="4"/>
        <v>0.01690774671</v>
      </c>
      <c r="Q1107" s="5"/>
    </row>
    <row r="1108">
      <c r="A1108" s="4">
        <f>IFERROR(__xludf.DUMMYFUNCTION("""COMPUTED_VALUE"""),45891.66666666667)</f>
        <v>45891.66667</v>
      </c>
      <c r="B1108" s="1">
        <f>IFERROR(__xludf.DUMMYFUNCTION("""COMPUTED_VALUE"""),227.76)</f>
        <v>227.76</v>
      </c>
      <c r="C1108" s="4">
        <f>IFERROR(__xludf.DUMMYFUNCTION("""COMPUTED_VALUE"""),45891.66666666667)</f>
        <v>45891.66667</v>
      </c>
      <c r="D1108" s="1">
        <f>IFERROR(__xludf.DUMMYFUNCTION("""COMPUTED_VALUE"""),507.23)</f>
        <v>507.23</v>
      </c>
      <c r="E1108" s="4">
        <f>IFERROR(__xludf.DUMMYFUNCTION("""COMPUTED_VALUE"""),45891.66666666667)</f>
        <v>45891.66667</v>
      </c>
      <c r="F1108" s="1">
        <f>IFERROR(__xludf.DUMMYFUNCTION("""COMPUTED_VALUE"""),111.28)</f>
        <v>111.28</v>
      </c>
      <c r="G1108" s="4">
        <f>IFERROR(__xludf.DUMMYFUNCTION("""COMPUTED_VALUE"""),45891.66666666667)</f>
        <v>45891.66667</v>
      </c>
      <c r="H1108" s="1">
        <f>IFERROR(__xludf.DUMMYFUNCTION("""COMPUTED_VALUE"""),158.18)</f>
        <v>158.18</v>
      </c>
      <c r="I1108" s="5">
        <f t="shared" si="1"/>
        <v>-0.002634351949</v>
      </c>
      <c r="K1108" s="5">
        <f t="shared" si="2"/>
        <v>-0.005855331901</v>
      </c>
      <c r="L1108" s="5">
        <f t="shared" si="3"/>
        <v>0.004133716751</v>
      </c>
      <c r="M1108" s="5">
        <f t="shared" si="4"/>
        <v>0.0001264382349</v>
      </c>
      <c r="Q1108" s="5"/>
    </row>
    <row r="1109">
      <c r="A1109" s="4">
        <f>IFERROR(__xludf.DUMMYFUNCTION("""COMPUTED_VALUE"""),45894.66666666667)</f>
        <v>45894.66667</v>
      </c>
      <c r="B1109" s="1">
        <f>IFERROR(__xludf.DUMMYFUNCTION("""COMPUTED_VALUE"""),227.16)</f>
        <v>227.16</v>
      </c>
      <c r="C1109" s="4">
        <f>IFERROR(__xludf.DUMMYFUNCTION("""COMPUTED_VALUE"""),45894.66666666667)</f>
        <v>45894.66667</v>
      </c>
      <c r="D1109" s="1">
        <f>IFERROR(__xludf.DUMMYFUNCTION("""COMPUTED_VALUE"""),504.26)</f>
        <v>504.26</v>
      </c>
      <c r="E1109" s="4">
        <f>IFERROR(__xludf.DUMMYFUNCTION("""COMPUTED_VALUE"""),45894.66666666667)</f>
        <v>45894.66667</v>
      </c>
      <c r="F1109" s="1">
        <f>IFERROR(__xludf.DUMMYFUNCTION("""COMPUTED_VALUE"""),111.74)</f>
        <v>111.74</v>
      </c>
      <c r="G1109" s="4">
        <f>IFERROR(__xludf.DUMMYFUNCTION("""COMPUTED_VALUE"""),45894.66666666667)</f>
        <v>45894.66667</v>
      </c>
      <c r="H1109" s="1">
        <f>IFERROR(__xludf.DUMMYFUNCTION("""COMPUTED_VALUE"""),158.2)</f>
        <v>158.2</v>
      </c>
      <c r="I1109" s="5">
        <f t="shared" si="1"/>
        <v>0.009464694488</v>
      </c>
      <c r="K1109" s="5">
        <f t="shared" si="2"/>
        <v>-0.004402490779</v>
      </c>
      <c r="L1109" s="5">
        <f t="shared" si="3"/>
        <v>-0.002237336674</v>
      </c>
      <c r="M1109" s="5">
        <f t="shared" si="4"/>
        <v>-0.005309734513</v>
      </c>
      <c r="Q1109" s="5"/>
    </row>
    <row r="1110">
      <c r="A1110" s="4">
        <f>IFERROR(__xludf.DUMMYFUNCTION("""COMPUTED_VALUE"""),45895.66666666667)</f>
        <v>45895.66667</v>
      </c>
      <c r="B1110" s="1">
        <f>IFERROR(__xludf.DUMMYFUNCTION("""COMPUTED_VALUE"""),229.31)</f>
        <v>229.31</v>
      </c>
      <c r="C1110" s="4">
        <f>IFERROR(__xludf.DUMMYFUNCTION("""COMPUTED_VALUE"""),45895.66666666667)</f>
        <v>45895.66667</v>
      </c>
      <c r="D1110" s="1">
        <f>IFERROR(__xludf.DUMMYFUNCTION("""COMPUTED_VALUE"""),502.04)</f>
        <v>502.04</v>
      </c>
      <c r="E1110" s="4">
        <f>IFERROR(__xludf.DUMMYFUNCTION("""COMPUTED_VALUE"""),45895.66666666667)</f>
        <v>45895.66667</v>
      </c>
      <c r="F1110" s="1">
        <f>IFERROR(__xludf.DUMMYFUNCTION("""COMPUTED_VALUE"""),111.49)</f>
        <v>111.49</v>
      </c>
      <c r="G1110" s="4">
        <f>IFERROR(__xludf.DUMMYFUNCTION("""COMPUTED_VALUE"""),45895.66666666667)</f>
        <v>45895.66667</v>
      </c>
      <c r="H1110" s="1">
        <f>IFERROR(__xludf.DUMMYFUNCTION("""COMPUTED_VALUE"""),157.36)</f>
        <v>157.36</v>
      </c>
      <c r="I1110" s="5">
        <f t="shared" si="1"/>
        <v>0.0051458724</v>
      </c>
      <c r="K1110" s="5">
        <f t="shared" si="2"/>
        <v>0.00936180384</v>
      </c>
      <c r="L1110" s="5">
        <f t="shared" si="3"/>
        <v>0.01130146201</v>
      </c>
      <c r="M1110" s="5">
        <f t="shared" si="4"/>
        <v>0.01194712761</v>
      </c>
      <c r="Q1110" s="5"/>
    </row>
    <row r="1111">
      <c r="A1111" s="4">
        <f>IFERROR(__xludf.DUMMYFUNCTION("""COMPUTED_VALUE"""),45896.66666666667)</f>
        <v>45896.66667</v>
      </c>
      <c r="B1111" s="1">
        <f>IFERROR(__xludf.DUMMYFUNCTION("""COMPUTED_VALUE"""),230.49)</f>
        <v>230.49</v>
      </c>
      <c r="C1111" s="4">
        <f>IFERROR(__xludf.DUMMYFUNCTION("""COMPUTED_VALUE"""),45896.66666666667)</f>
        <v>45896.66667</v>
      </c>
      <c r="D1111" s="1">
        <f>IFERROR(__xludf.DUMMYFUNCTION("""COMPUTED_VALUE"""),506.74)</f>
        <v>506.74</v>
      </c>
      <c r="E1111" s="4">
        <f>IFERROR(__xludf.DUMMYFUNCTION("""COMPUTED_VALUE"""),45896.66666666667)</f>
        <v>45896.66667</v>
      </c>
      <c r="F1111" s="1">
        <f>IFERROR(__xludf.DUMMYFUNCTION("""COMPUTED_VALUE"""),112.75)</f>
        <v>112.75</v>
      </c>
      <c r="G1111" s="4">
        <f>IFERROR(__xludf.DUMMYFUNCTION("""COMPUTED_VALUE"""),45896.66666666667)</f>
        <v>45896.66667</v>
      </c>
      <c r="H1111" s="1">
        <f>IFERROR(__xludf.DUMMYFUNCTION("""COMPUTED_VALUE"""),159.24)</f>
        <v>159.24</v>
      </c>
      <c r="I1111" s="5">
        <f t="shared" si="1"/>
        <v>0.008980866849</v>
      </c>
      <c r="K1111" s="5">
        <f t="shared" si="2"/>
        <v>0.005722855902</v>
      </c>
      <c r="L1111" s="5">
        <f t="shared" si="3"/>
        <v>0.005321507761</v>
      </c>
      <c r="M1111" s="5">
        <f t="shared" si="4"/>
        <v>0.0005023863351</v>
      </c>
      <c r="Q1111" s="5"/>
    </row>
    <row r="1112">
      <c r="A1112" s="4">
        <f>IFERROR(__xludf.DUMMYFUNCTION("""COMPUTED_VALUE"""),45897.66666666667)</f>
        <v>45897.66667</v>
      </c>
      <c r="B1112" s="1">
        <f>IFERROR(__xludf.DUMMYFUNCTION("""COMPUTED_VALUE"""),232.56)</f>
        <v>232.56</v>
      </c>
      <c r="C1112" s="4">
        <f>IFERROR(__xludf.DUMMYFUNCTION("""COMPUTED_VALUE"""),45897.66666666667)</f>
        <v>45897.66667</v>
      </c>
      <c r="D1112" s="1">
        <f>IFERROR(__xludf.DUMMYFUNCTION("""COMPUTED_VALUE"""),509.64)</f>
        <v>509.64</v>
      </c>
      <c r="E1112" s="4">
        <f>IFERROR(__xludf.DUMMYFUNCTION("""COMPUTED_VALUE"""),45897.66666666667)</f>
        <v>45897.66667</v>
      </c>
      <c r="F1112" s="1">
        <f>IFERROR(__xludf.DUMMYFUNCTION("""COMPUTED_VALUE"""),113.35)</f>
        <v>113.35</v>
      </c>
      <c r="G1112" s="4">
        <f>IFERROR(__xludf.DUMMYFUNCTION("""COMPUTED_VALUE"""),45897.66666666667)</f>
        <v>45897.66667</v>
      </c>
      <c r="H1112" s="1">
        <f>IFERROR(__xludf.DUMMYFUNCTION("""COMPUTED_VALUE"""),159.32)</f>
        <v>159.32</v>
      </c>
      <c r="I1112" s="5">
        <f t="shared" si="1"/>
        <v>-0.001805985552</v>
      </c>
      <c r="K1112" s="5">
        <f t="shared" si="2"/>
        <v>-0.005788399655</v>
      </c>
      <c r="L1112" s="5">
        <f t="shared" si="3"/>
        <v>0.008292898103</v>
      </c>
      <c r="M1112" s="5">
        <f t="shared" si="4"/>
        <v>0.008034145117</v>
      </c>
      <c r="Q1112" s="5"/>
    </row>
    <row r="1113">
      <c r="A1113" s="4">
        <f>IFERROR(__xludf.DUMMYFUNCTION("""COMPUTED_VALUE"""),45898.66666666667)</f>
        <v>45898.66667</v>
      </c>
      <c r="B1113" s="1">
        <f>IFERROR(__xludf.DUMMYFUNCTION("""COMPUTED_VALUE"""),232.14)</f>
        <v>232.14</v>
      </c>
      <c r="C1113" s="4">
        <f>IFERROR(__xludf.DUMMYFUNCTION("""COMPUTED_VALUE"""),45898.66666666667)</f>
        <v>45898.66667</v>
      </c>
      <c r="D1113" s="1">
        <f>IFERROR(__xludf.DUMMYFUNCTION("""COMPUTED_VALUE"""),506.69)</f>
        <v>506.69</v>
      </c>
      <c r="E1113" s="4">
        <f>IFERROR(__xludf.DUMMYFUNCTION("""COMPUTED_VALUE"""),45898.66666666667)</f>
        <v>45898.66667</v>
      </c>
      <c r="F1113" s="1">
        <f>IFERROR(__xludf.DUMMYFUNCTION("""COMPUTED_VALUE"""),114.29)</f>
        <v>114.29</v>
      </c>
      <c r="G1113" s="4">
        <f>IFERROR(__xludf.DUMMYFUNCTION("""COMPUTED_VALUE"""),45898.66666666667)</f>
        <v>45898.66667</v>
      </c>
      <c r="H1113" s="1">
        <f>IFERROR(__xludf.DUMMYFUNCTION("""COMPUTED_VALUE"""),160.6)</f>
        <v>160.6</v>
      </c>
      <c r="I1113" s="5">
        <f t="shared" si="1"/>
        <v>-0.01042474369</v>
      </c>
      <c r="K1113" s="5">
        <f t="shared" si="2"/>
        <v>-0.003098541515</v>
      </c>
      <c r="L1113" s="5">
        <f t="shared" si="3"/>
        <v>0.003499868755</v>
      </c>
      <c r="M1113" s="5">
        <f t="shared" si="4"/>
        <v>0.007658779577</v>
      </c>
      <c r="Q1113" s="5"/>
    </row>
    <row r="1114">
      <c r="A1114" s="4">
        <f>IFERROR(__xludf.DUMMYFUNCTION("""COMPUTED_VALUE"""),45902.66666666667)</f>
        <v>45902.66667</v>
      </c>
      <c r="B1114" s="1">
        <f>IFERROR(__xludf.DUMMYFUNCTION("""COMPUTED_VALUE"""),229.72)</f>
        <v>229.72</v>
      </c>
      <c r="C1114" s="4">
        <f>IFERROR(__xludf.DUMMYFUNCTION("""COMPUTED_VALUE"""),45902.66666666667)</f>
        <v>45902.66667</v>
      </c>
      <c r="D1114" s="1">
        <f>IFERROR(__xludf.DUMMYFUNCTION("""COMPUTED_VALUE"""),505.12)</f>
        <v>505.12</v>
      </c>
      <c r="E1114" s="4">
        <f>IFERROR(__xludf.DUMMYFUNCTION("""COMPUTED_VALUE"""),45902.66666666667)</f>
        <v>45902.66667</v>
      </c>
      <c r="F1114" s="1">
        <f>IFERROR(__xludf.DUMMYFUNCTION("""COMPUTED_VALUE"""),114.69)</f>
        <v>114.69</v>
      </c>
      <c r="G1114" s="4">
        <f>IFERROR(__xludf.DUMMYFUNCTION("""COMPUTED_VALUE"""),45902.66666666667)</f>
        <v>45902.66667</v>
      </c>
      <c r="H1114" s="1">
        <f>IFERROR(__xludf.DUMMYFUNCTION("""COMPUTED_VALUE"""),161.83)</f>
        <v>161.83</v>
      </c>
      <c r="I1114" s="5">
        <f t="shared" si="1"/>
        <v>0.03808984851</v>
      </c>
      <c r="K1114" s="5">
        <f t="shared" si="2"/>
        <v>0.0004553373456</v>
      </c>
      <c r="L1114" s="5">
        <f t="shared" si="3"/>
        <v>-0.02423925364</v>
      </c>
      <c r="M1114" s="5">
        <f t="shared" si="4"/>
        <v>-0.02329605141</v>
      </c>
      <c r="Q1114" s="5"/>
    </row>
    <row r="1115">
      <c r="A1115" s="4">
        <f>IFERROR(__xludf.DUMMYFUNCTION("""COMPUTED_VALUE"""),45903.66666666667)</f>
        <v>45903.66667</v>
      </c>
      <c r="B1115" s="1">
        <f>IFERROR(__xludf.DUMMYFUNCTION("""COMPUTED_VALUE"""),238.47)</f>
        <v>238.47</v>
      </c>
      <c r="C1115" s="4">
        <f>IFERROR(__xludf.DUMMYFUNCTION("""COMPUTED_VALUE"""),45903.66666666667)</f>
        <v>45903.66667</v>
      </c>
      <c r="D1115" s="1">
        <f>IFERROR(__xludf.DUMMYFUNCTION("""COMPUTED_VALUE"""),505.35)</f>
        <v>505.35</v>
      </c>
      <c r="E1115" s="4">
        <f>IFERROR(__xludf.DUMMYFUNCTION("""COMPUTED_VALUE"""),45903.66666666667)</f>
        <v>45903.66667</v>
      </c>
      <c r="F1115" s="1">
        <f>IFERROR(__xludf.DUMMYFUNCTION("""COMPUTED_VALUE"""),111.91)</f>
        <v>111.91</v>
      </c>
      <c r="G1115" s="4">
        <f>IFERROR(__xludf.DUMMYFUNCTION("""COMPUTED_VALUE"""),45903.66666666667)</f>
        <v>45903.66667</v>
      </c>
      <c r="H1115" s="1">
        <f>IFERROR(__xludf.DUMMYFUNCTION("""COMPUTED_VALUE"""),158.06)</f>
        <v>158.06</v>
      </c>
      <c r="I1115" s="5">
        <f t="shared" si="1"/>
        <v>0.005493353462</v>
      </c>
      <c r="K1115" s="5">
        <f t="shared" si="2"/>
        <v>0.005184525576</v>
      </c>
      <c r="L1115" s="5">
        <f t="shared" si="3"/>
        <v>0.004378518452</v>
      </c>
      <c r="M1115" s="5">
        <f t="shared" si="4"/>
        <v>-0.002340883209</v>
      </c>
      <c r="Q1115" s="5"/>
    </row>
    <row r="1116">
      <c r="A1116" s="4">
        <f>IFERROR(__xludf.DUMMYFUNCTION("""COMPUTED_VALUE"""),45904.66666666667)</f>
        <v>45904.66667</v>
      </c>
      <c r="B1116" s="1">
        <f>IFERROR(__xludf.DUMMYFUNCTION("""COMPUTED_VALUE"""),239.78)</f>
        <v>239.78</v>
      </c>
      <c r="C1116" s="4">
        <f>IFERROR(__xludf.DUMMYFUNCTION("""COMPUTED_VALUE"""),45904.66666666667)</f>
        <v>45904.66667</v>
      </c>
      <c r="D1116" s="1">
        <f>IFERROR(__xludf.DUMMYFUNCTION("""COMPUTED_VALUE"""),507.97)</f>
        <v>507.97</v>
      </c>
      <c r="E1116" s="4">
        <f>IFERROR(__xludf.DUMMYFUNCTION("""COMPUTED_VALUE"""),45904.66666666667)</f>
        <v>45904.66667</v>
      </c>
      <c r="F1116" s="1">
        <f>IFERROR(__xludf.DUMMYFUNCTION("""COMPUTED_VALUE"""),112.4)</f>
        <v>112.4</v>
      </c>
      <c r="G1116" s="4">
        <f>IFERROR(__xludf.DUMMYFUNCTION("""COMPUTED_VALUE"""),45904.66666666667)</f>
        <v>45904.66667</v>
      </c>
      <c r="H1116" s="1">
        <f>IFERROR(__xludf.DUMMYFUNCTION("""COMPUTED_VALUE"""),157.69)</f>
        <v>157.69</v>
      </c>
      <c r="I1116" s="5">
        <f t="shared" si="1"/>
        <v>-0.0003753440654</v>
      </c>
      <c r="K1116" s="5">
        <f t="shared" si="2"/>
        <v>-0.02553300392</v>
      </c>
      <c r="L1116" s="5">
        <f t="shared" si="3"/>
        <v>-0.02820284698</v>
      </c>
      <c r="M1116" s="5">
        <f t="shared" si="4"/>
        <v>-0.02555647156</v>
      </c>
      <c r="Q1116" s="5"/>
    </row>
    <row r="1117">
      <c r="A1117" s="4">
        <f>IFERROR(__xludf.DUMMYFUNCTION("""COMPUTED_VALUE"""),45905.66666666667)</f>
        <v>45905.66667</v>
      </c>
      <c r="B1117" s="1">
        <f>IFERROR(__xludf.DUMMYFUNCTION("""COMPUTED_VALUE"""),239.69)</f>
        <v>239.69</v>
      </c>
      <c r="C1117" s="4">
        <f>IFERROR(__xludf.DUMMYFUNCTION("""COMPUTED_VALUE"""),45905.66666666667)</f>
        <v>45905.66667</v>
      </c>
      <c r="D1117" s="1">
        <f>IFERROR(__xludf.DUMMYFUNCTION("""COMPUTED_VALUE"""),495.0)</f>
        <v>495</v>
      </c>
      <c r="E1117" s="4">
        <f>IFERROR(__xludf.DUMMYFUNCTION("""COMPUTED_VALUE"""),45905.66666666667)</f>
        <v>45905.66667</v>
      </c>
      <c r="F1117" s="1">
        <f>IFERROR(__xludf.DUMMYFUNCTION("""COMPUTED_VALUE"""),109.23)</f>
        <v>109.23</v>
      </c>
      <c r="G1117" s="4">
        <f>IFERROR(__xludf.DUMMYFUNCTION("""COMPUTED_VALUE"""),45905.66666666667)</f>
        <v>45905.66667</v>
      </c>
      <c r="H1117" s="1">
        <f>IFERROR(__xludf.DUMMYFUNCTION("""COMPUTED_VALUE"""),153.66)</f>
        <v>153.66</v>
      </c>
      <c r="I1117" s="5">
        <f t="shared" si="1"/>
        <v>-0.007551420585</v>
      </c>
      <c r="K1117" s="5">
        <f t="shared" si="2"/>
        <v>0.006464646465</v>
      </c>
      <c r="L1117" s="5">
        <f t="shared" si="3"/>
        <v>0.005676096311</v>
      </c>
      <c r="M1117" s="5">
        <f t="shared" si="4"/>
        <v>0.00221267734</v>
      </c>
      <c r="Q1117" s="5"/>
    </row>
    <row r="1118">
      <c r="A1118" s="4">
        <f>IFERROR(__xludf.DUMMYFUNCTION("""COMPUTED_VALUE"""),45908.66666666667)</f>
        <v>45908.66667</v>
      </c>
      <c r="B1118" s="1">
        <f>IFERROR(__xludf.DUMMYFUNCTION("""COMPUTED_VALUE"""),237.88)</f>
        <v>237.88</v>
      </c>
      <c r="C1118" s="4">
        <f>IFERROR(__xludf.DUMMYFUNCTION("""COMPUTED_VALUE"""),45908.66666666667)</f>
        <v>45908.66667</v>
      </c>
      <c r="D1118" s="1">
        <f>IFERROR(__xludf.DUMMYFUNCTION("""COMPUTED_VALUE"""),498.2)</f>
        <v>498.2</v>
      </c>
      <c r="E1118" s="4">
        <f>IFERROR(__xludf.DUMMYFUNCTION("""COMPUTED_VALUE"""),45908.66666666667)</f>
        <v>45908.66667</v>
      </c>
      <c r="F1118" s="1">
        <f>IFERROR(__xludf.DUMMYFUNCTION("""COMPUTED_VALUE"""),109.85)</f>
        <v>109.85</v>
      </c>
      <c r="G1118" s="4">
        <f>IFERROR(__xludf.DUMMYFUNCTION("""COMPUTED_VALUE"""),45908.66666666667)</f>
        <v>45908.66667</v>
      </c>
      <c r="H1118" s="1">
        <f>IFERROR(__xludf.DUMMYFUNCTION("""COMPUTED_VALUE"""),154.0)</f>
        <v>154</v>
      </c>
      <c r="I1118" s="5">
        <f t="shared" si="1"/>
        <v>-0.01483941483</v>
      </c>
      <c r="K1118" s="5">
        <f t="shared" si="2"/>
        <v>0.0004215174629</v>
      </c>
      <c r="L1118" s="5">
        <f t="shared" si="3"/>
        <v>0.00728265817</v>
      </c>
      <c r="M1118" s="5">
        <f t="shared" si="4"/>
        <v>0.005519480519</v>
      </c>
      <c r="Q1118" s="5"/>
    </row>
    <row r="1119">
      <c r="A1119" s="4">
        <f>IFERROR(__xludf.DUMMYFUNCTION("""COMPUTED_VALUE"""),45909.66666666667)</f>
        <v>45909.66667</v>
      </c>
      <c r="B1119" s="1">
        <f>IFERROR(__xludf.DUMMYFUNCTION("""COMPUTED_VALUE"""),234.35)</f>
        <v>234.35</v>
      </c>
      <c r="C1119" s="4">
        <f>IFERROR(__xludf.DUMMYFUNCTION("""COMPUTED_VALUE"""),45909.66666666667)</f>
        <v>45909.66667</v>
      </c>
      <c r="D1119" s="1">
        <f>IFERROR(__xludf.DUMMYFUNCTION("""COMPUTED_VALUE"""),498.41)</f>
        <v>498.41</v>
      </c>
      <c r="E1119" s="4">
        <f>IFERROR(__xludf.DUMMYFUNCTION("""COMPUTED_VALUE"""),45909.66666666667)</f>
        <v>45909.66667</v>
      </c>
      <c r="F1119" s="1">
        <f>IFERROR(__xludf.DUMMYFUNCTION("""COMPUTED_VALUE"""),110.65)</f>
        <v>110.65</v>
      </c>
      <c r="G1119" s="4">
        <f>IFERROR(__xludf.DUMMYFUNCTION("""COMPUTED_VALUE"""),45909.66666666667)</f>
        <v>45909.66667</v>
      </c>
      <c r="H1119" s="1">
        <f>IFERROR(__xludf.DUMMYFUNCTION("""COMPUTED_VALUE"""),154.85)</f>
        <v>154.85</v>
      </c>
      <c r="I1119" s="5">
        <f t="shared" si="1"/>
        <v>-0.03225944101</v>
      </c>
      <c r="K1119" s="5">
        <f t="shared" si="2"/>
        <v>0.003932505367</v>
      </c>
      <c r="L1119" s="5">
        <f t="shared" si="3"/>
        <v>0.01671938545</v>
      </c>
      <c r="M1119" s="5">
        <f t="shared" si="4"/>
        <v>0.0189861156</v>
      </c>
      <c r="Q1119" s="5"/>
    </row>
    <row r="1120">
      <c r="A1120" s="4">
        <f>IFERROR(__xludf.DUMMYFUNCTION("""COMPUTED_VALUE"""),45910.66666666667)</f>
        <v>45910.66667</v>
      </c>
      <c r="B1120" s="1">
        <f>IFERROR(__xludf.DUMMYFUNCTION("""COMPUTED_VALUE"""),226.79)</f>
        <v>226.79</v>
      </c>
      <c r="C1120" s="4">
        <f>IFERROR(__xludf.DUMMYFUNCTION("""COMPUTED_VALUE"""),45910.66666666667)</f>
        <v>45910.66667</v>
      </c>
      <c r="D1120" s="1">
        <f>IFERROR(__xludf.DUMMYFUNCTION("""COMPUTED_VALUE"""),500.37)</f>
        <v>500.37</v>
      </c>
      <c r="E1120" s="4">
        <f>IFERROR(__xludf.DUMMYFUNCTION("""COMPUTED_VALUE"""),45910.66666666667)</f>
        <v>45910.66667</v>
      </c>
      <c r="F1120" s="1">
        <f>IFERROR(__xludf.DUMMYFUNCTION("""COMPUTED_VALUE"""),112.5)</f>
        <v>112.5</v>
      </c>
      <c r="G1120" s="4">
        <f>IFERROR(__xludf.DUMMYFUNCTION("""COMPUTED_VALUE"""),45910.66666666667)</f>
        <v>45910.66667</v>
      </c>
      <c r="H1120" s="1">
        <f>IFERROR(__xludf.DUMMYFUNCTION("""COMPUTED_VALUE"""),157.79)</f>
        <v>157.79</v>
      </c>
      <c r="I1120" s="5">
        <f t="shared" si="1"/>
        <v>0.0142863442</v>
      </c>
      <c r="K1120" s="5">
        <f t="shared" si="2"/>
        <v>0.0012790535</v>
      </c>
      <c r="L1120" s="5">
        <f t="shared" si="3"/>
        <v>-0.0032</v>
      </c>
      <c r="M1120" s="5">
        <f t="shared" si="4"/>
        <v>0.002915267127</v>
      </c>
      <c r="Q1120" s="5"/>
    </row>
    <row r="1121">
      <c r="A1121" s="4">
        <f>IFERROR(__xludf.DUMMYFUNCTION("""COMPUTED_VALUE"""),45911.66666666667)</f>
        <v>45911.66667</v>
      </c>
      <c r="B1121" s="1">
        <f>IFERROR(__xludf.DUMMYFUNCTION("""COMPUTED_VALUE"""),230.03)</f>
        <v>230.03</v>
      </c>
      <c r="C1121" s="4">
        <f>IFERROR(__xludf.DUMMYFUNCTION("""COMPUTED_VALUE"""),45911.66666666667)</f>
        <v>45911.66667</v>
      </c>
      <c r="D1121" s="1">
        <f>IFERROR(__xludf.DUMMYFUNCTION("""COMPUTED_VALUE"""),501.01)</f>
        <v>501.01</v>
      </c>
      <c r="E1121" s="4">
        <f>IFERROR(__xludf.DUMMYFUNCTION("""COMPUTED_VALUE"""),45911.66666666667)</f>
        <v>45911.66667</v>
      </c>
      <c r="F1121" s="1">
        <f>IFERROR(__xludf.DUMMYFUNCTION("""COMPUTED_VALUE"""),112.14)</f>
        <v>112.14</v>
      </c>
      <c r="G1121" s="4">
        <f>IFERROR(__xludf.DUMMYFUNCTION("""COMPUTED_VALUE"""),45911.66666666667)</f>
        <v>45911.66667</v>
      </c>
      <c r="H1121" s="1">
        <f>IFERROR(__xludf.DUMMYFUNCTION("""COMPUTED_VALUE"""),158.25)</f>
        <v>158.25</v>
      </c>
      <c r="I1121" s="5">
        <f t="shared" si="1"/>
        <v>0.01756292657</v>
      </c>
      <c r="K1121" s="5">
        <f t="shared" si="2"/>
        <v>0.0177441568</v>
      </c>
      <c r="L1121" s="5">
        <f t="shared" si="3"/>
        <v>0.000178348493</v>
      </c>
      <c r="M1121" s="5">
        <f t="shared" si="4"/>
        <v>-0.007203791469</v>
      </c>
      <c r="Q1121" s="5"/>
    </row>
    <row r="1122">
      <c r="A1122" s="4">
        <f>IFERROR(__xludf.DUMMYFUNCTION("""COMPUTED_VALUE"""),45912.66666666667)</f>
        <v>45912.66667</v>
      </c>
      <c r="B1122" s="1">
        <f>IFERROR(__xludf.DUMMYFUNCTION("""COMPUTED_VALUE"""),234.07)</f>
        <v>234.07</v>
      </c>
      <c r="C1122" s="4">
        <f>IFERROR(__xludf.DUMMYFUNCTION("""COMPUTED_VALUE"""),45912.66666666667)</f>
        <v>45912.66667</v>
      </c>
      <c r="D1122" s="1">
        <f>IFERROR(__xludf.DUMMYFUNCTION("""COMPUTED_VALUE"""),509.9)</f>
        <v>509.9</v>
      </c>
      <c r="E1122" s="4">
        <f>IFERROR(__xludf.DUMMYFUNCTION("""COMPUTED_VALUE"""),45912.66666666667)</f>
        <v>45912.66667</v>
      </c>
      <c r="F1122" s="1">
        <f>IFERROR(__xludf.DUMMYFUNCTION("""COMPUTED_VALUE"""),112.16)</f>
        <v>112.16</v>
      </c>
      <c r="G1122" s="4">
        <f>IFERROR(__xludf.DUMMYFUNCTION("""COMPUTED_VALUE"""),45912.66666666667)</f>
        <v>45912.66667</v>
      </c>
      <c r="H1122" s="1">
        <f>IFERROR(__xludf.DUMMYFUNCTION("""COMPUTED_VALUE"""),157.11)</f>
        <v>157.11</v>
      </c>
      <c r="I1122" s="5">
        <f t="shared" si="1"/>
        <v>0.01123595506</v>
      </c>
      <c r="K1122" s="5">
        <f t="shared" si="2"/>
        <v>0.01070798196</v>
      </c>
      <c r="L1122" s="5">
        <f t="shared" si="3"/>
        <v>0.001694008559</v>
      </c>
      <c r="M1122" s="5">
        <f t="shared" si="4"/>
        <v>0.001272993444</v>
      </c>
      <c r="Q1122" s="5"/>
    </row>
    <row r="1123">
      <c r="A1123" s="4">
        <f>IFERROR(__xludf.DUMMYFUNCTION("""COMPUTED_VALUE"""),45915.66666666667)</f>
        <v>45915.66667</v>
      </c>
      <c r="B1123" s="1">
        <f>IFERROR(__xludf.DUMMYFUNCTION("""COMPUTED_VALUE"""),236.7)</f>
        <v>236.7</v>
      </c>
      <c r="C1123" s="4">
        <f>IFERROR(__xludf.DUMMYFUNCTION("""COMPUTED_VALUE"""),45915.66666666667)</f>
        <v>45915.66667</v>
      </c>
      <c r="D1123" s="1">
        <f>IFERROR(__xludf.DUMMYFUNCTION("""COMPUTED_VALUE"""),515.36)</f>
        <v>515.36</v>
      </c>
      <c r="E1123" s="4">
        <f>IFERROR(__xludf.DUMMYFUNCTION("""COMPUTED_VALUE"""),45915.66666666667)</f>
        <v>45915.66667</v>
      </c>
      <c r="F1123" s="1">
        <f>IFERROR(__xludf.DUMMYFUNCTION("""COMPUTED_VALUE"""),112.35)</f>
        <v>112.35</v>
      </c>
      <c r="G1123" s="4">
        <f>IFERROR(__xludf.DUMMYFUNCTION("""COMPUTED_VALUE"""),45915.66666666667)</f>
        <v>45915.66667</v>
      </c>
      <c r="H1123" s="1">
        <f>IFERROR(__xludf.DUMMYFUNCTION("""COMPUTED_VALUE"""),157.31)</f>
        <v>157.31</v>
      </c>
      <c r="I1123" s="5">
        <f t="shared" si="1"/>
        <v>0.006125897761</v>
      </c>
      <c r="K1123" s="5">
        <f t="shared" si="2"/>
        <v>-0.01226327228</v>
      </c>
      <c r="L1123" s="5">
        <f t="shared" si="3"/>
        <v>0.02073876279</v>
      </c>
      <c r="M1123" s="5">
        <f t="shared" si="4"/>
        <v>0.01417583116</v>
      </c>
      <c r="Q1123" s="5"/>
    </row>
    <row r="1124">
      <c r="A1124" s="4">
        <f>IFERROR(__xludf.DUMMYFUNCTION("""COMPUTED_VALUE"""),45916.66666666667)</f>
        <v>45916.66667</v>
      </c>
      <c r="B1124" s="1">
        <f>IFERROR(__xludf.DUMMYFUNCTION("""COMPUTED_VALUE"""),238.15)</f>
        <v>238.15</v>
      </c>
      <c r="C1124" s="4">
        <f>IFERROR(__xludf.DUMMYFUNCTION("""COMPUTED_VALUE"""),45916.66666666667)</f>
        <v>45916.66667</v>
      </c>
      <c r="D1124" s="1">
        <f>IFERROR(__xludf.DUMMYFUNCTION("""COMPUTED_VALUE"""),509.04)</f>
        <v>509.04</v>
      </c>
      <c r="E1124" s="4">
        <f>IFERROR(__xludf.DUMMYFUNCTION("""COMPUTED_VALUE"""),45916.66666666667)</f>
        <v>45916.66667</v>
      </c>
      <c r="F1124" s="1">
        <f>IFERROR(__xludf.DUMMYFUNCTION("""COMPUTED_VALUE"""),114.68)</f>
        <v>114.68</v>
      </c>
      <c r="G1124" s="4">
        <f>IFERROR(__xludf.DUMMYFUNCTION("""COMPUTED_VALUE"""),45916.66666666667)</f>
        <v>45916.66667</v>
      </c>
      <c r="H1124" s="1">
        <f>IFERROR(__xludf.DUMMYFUNCTION("""COMPUTED_VALUE"""),159.54)</f>
        <v>159.54</v>
      </c>
      <c r="I1124" s="5">
        <f t="shared" si="1"/>
        <v>0.003527188747</v>
      </c>
      <c r="K1124" s="5">
        <f t="shared" si="2"/>
        <v>0.001925192519</v>
      </c>
      <c r="L1124" s="5">
        <f t="shared" si="3"/>
        <v>0.005319148936</v>
      </c>
      <c r="M1124" s="5">
        <f t="shared" si="4"/>
        <v>0.003447411308</v>
      </c>
      <c r="Q1124" s="5"/>
    </row>
    <row r="1125">
      <c r="A1125" s="4">
        <f>IFERROR(__xludf.DUMMYFUNCTION("""COMPUTED_VALUE"""),45917.66666666667)</f>
        <v>45917.66667</v>
      </c>
      <c r="B1125" s="1">
        <f>IFERROR(__xludf.DUMMYFUNCTION("""COMPUTED_VALUE"""),238.99)</f>
        <v>238.99</v>
      </c>
      <c r="C1125" s="4">
        <f>IFERROR(__xludf.DUMMYFUNCTION("""COMPUTED_VALUE"""),45917.66666666667)</f>
        <v>45917.66667</v>
      </c>
      <c r="D1125" s="1">
        <f>IFERROR(__xludf.DUMMYFUNCTION("""COMPUTED_VALUE"""),510.02)</f>
        <v>510.02</v>
      </c>
      <c r="E1125" s="4">
        <f>IFERROR(__xludf.DUMMYFUNCTION("""COMPUTED_VALUE"""),45917.66666666667)</f>
        <v>45917.66667</v>
      </c>
      <c r="F1125" s="1">
        <f>IFERROR(__xludf.DUMMYFUNCTION("""COMPUTED_VALUE"""),115.29)</f>
        <v>115.29</v>
      </c>
      <c r="G1125" s="4">
        <f>IFERROR(__xludf.DUMMYFUNCTION("""COMPUTED_VALUE"""),45917.66666666667)</f>
        <v>45917.66667</v>
      </c>
      <c r="H1125" s="1">
        <f>IFERROR(__xludf.DUMMYFUNCTION("""COMPUTED_VALUE"""),160.09)</f>
        <v>160.09</v>
      </c>
      <c r="I1125" s="5">
        <f t="shared" si="1"/>
        <v>-0.004644545797</v>
      </c>
      <c r="K1125" s="5">
        <f t="shared" si="2"/>
        <v>-0.003078310654</v>
      </c>
      <c r="L1125" s="5">
        <f t="shared" si="3"/>
        <v>-0.01179633967</v>
      </c>
      <c r="M1125" s="5">
        <f t="shared" si="4"/>
        <v>-0.007808107939</v>
      </c>
      <c r="Q1125" s="5"/>
    </row>
    <row r="1126">
      <c r="A1126" s="4">
        <f>IFERROR(__xludf.DUMMYFUNCTION("""COMPUTED_VALUE"""),45918.66666666667)</f>
        <v>45918.66667</v>
      </c>
      <c r="B1126" s="1">
        <f>IFERROR(__xludf.DUMMYFUNCTION("""COMPUTED_VALUE"""),237.88)</f>
        <v>237.88</v>
      </c>
      <c r="C1126" s="4">
        <f>IFERROR(__xludf.DUMMYFUNCTION("""COMPUTED_VALUE"""),45918.66666666667)</f>
        <v>45918.66667</v>
      </c>
      <c r="D1126" s="1">
        <f>IFERROR(__xludf.DUMMYFUNCTION("""COMPUTED_VALUE"""),508.45)</f>
        <v>508.45</v>
      </c>
      <c r="E1126" s="4">
        <f>IFERROR(__xludf.DUMMYFUNCTION("""COMPUTED_VALUE"""),45918.66666666667)</f>
        <v>45918.66667</v>
      </c>
      <c r="F1126" s="1">
        <f>IFERROR(__xludf.DUMMYFUNCTION("""COMPUTED_VALUE"""),113.93)</f>
        <v>113.93</v>
      </c>
      <c r="G1126" s="4">
        <f>IFERROR(__xludf.DUMMYFUNCTION("""COMPUTED_VALUE"""),45918.66666666667)</f>
        <v>45918.66667</v>
      </c>
      <c r="H1126" s="1">
        <f>IFERROR(__xludf.DUMMYFUNCTION("""COMPUTED_VALUE"""),158.84)</f>
        <v>158.84</v>
      </c>
      <c r="I1126" s="5">
        <f t="shared" si="1"/>
        <v>0.03203295779</v>
      </c>
      <c r="K1126" s="5">
        <f t="shared" si="2"/>
        <v>0.01864490117</v>
      </c>
      <c r="L1126" s="5">
        <f t="shared" si="3"/>
        <v>-0.009742824541</v>
      </c>
      <c r="M1126" s="5">
        <f t="shared" si="4"/>
        <v>-0.01655754218</v>
      </c>
      <c r="Q1126" s="5"/>
    </row>
    <row r="1127">
      <c r="A1127" s="4">
        <f>IFERROR(__xludf.DUMMYFUNCTION("""COMPUTED_VALUE"""),45919.66666666667)</f>
        <v>45919.66667</v>
      </c>
      <c r="B1127" s="1">
        <f>IFERROR(__xludf.DUMMYFUNCTION("""COMPUTED_VALUE"""),245.5)</f>
        <v>245.5</v>
      </c>
      <c r="C1127" s="4">
        <f>IFERROR(__xludf.DUMMYFUNCTION("""COMPUTED_VALUE"""),45919.66666666667)</f>
        <v>45919.66667</v>
      </c>
      <c r="D1127" s="1">
        <f>IFERROR(__xludf.DUMMYFUNCTION("""COMPUTED_VALUE"""),517.93)</f>
        <v>517.93</v>
      </c>
      <c r="E1127" s="4">
        <f>IFERROR(__xludf.DUMMYFUNCTION("""COMPUTED_VALUE"""),45919.66666666667)</f>
        <v>45919.66667</v>
      </c>
      <c r="F1127" s="1">
        <f>IFERROR(__xludf.DUMMYFUNCTION("""COMPUTED_VALUE"""),112.82)</f>
        <v>112.82</v>
      </c>
      <c r="G1127" s="4">
        <f>IFERROR(__xludf.DUMMYFUNCTION("""COMPUTED_VALUE"""),45919.66666666667)</f>
        <v>45919.66667</v>
      </c>
      <c r="H1127" s="1">
        <f>IFERROR(__xludf.DUMMYFUNCTION("""COMPUTED_VALUE"""),156.21)</f>
        <v>156.21</v>
      </c>
      <c r="I1127" s="5">
        <f t="shared" si="1"/>
        <v>0.04309572301</v>
      </c>
      <c r="K1127" s="5">
        <f t="shared" si="2"/>
        <v>-0.006719054699</v>
      </c>
      <c r="L1127" s="5">
        <f t="shared" si="3"/>
        <v>-0.007090941322</v>
      </c>
      <c r="M1127" s="5">
        <f t="shared" si="4"/>
        <v>-0.001024262211</v>
      </c>
      <c r="Q1127" s="5"/>
    </row>
    <row r="1128">
      <c r="A1128" s="4">
        <f>IFERROR(__xludf.DUMMYFUNCTION("""COMPUTED_VALUE"""),45922.66666666667)</f>
        <v>45922.66667</v>
      </c>
      <c r="B1128" s="1">
        <f>IFERROR(__xludf.DUMMYFUNCTION("""COMPUTED_VALUE"""),256.08)</f>
        <v>256.08</v>
      </c>
      <c r="C1128" s="4">
        <f>IFERROR(__xludf.DUMMYFUNCTION("""COMPUTED_VALUE"""),45922.66666666667)</f>
        <v>45922.66667</v>
      </c>
      <c r="D1128" s="1">
        <f>IFERROR(__xludf.DUMMYFUNCTION("""COMPUTED_VALUE"""),514.45)</f>
        <v>514.45</v>
      </c>
      <c r="E1128" s="4">
        <f>IFERROR(__xludf.DUMMYFUNCTION("""COMPUTED_VALUE"""),45922.66666666667)</f>
        <v>45922.66667</v>
      </c>
      <c r="F1128" s="1">
        <f>IFERROR(__xludf.DUMMYFUNCTION("""COMPUTED_VALUE"""),112.02)</f>
        <v>112.02</v>
      </c>
      <c r="G1128" s="4">
        <f>IFERROR(__xludf.DUMMYFUNCTION("""COMPUTED_VALUE"""),45922.66666666667)</f>
        <v>45922.66667</v>
      </c>
      <c r="H1128" s="1">
        <f>IFERROR(__xludf.DUMMYFUNCTION("""COMPUTED_VALUE"""),156.05)</f>
        <v>156.05</v>
      </c>
      <c r="I1128" s="5">
        <f t="shared" si="1"/>
        <v>-0.006443298969</v>
      </c>
      <c r="K1128" s="5">
        <f t="shared" si="2"/>
        <v>-0.01014675867</v>
      </c>
      <c r="L1128" s="5">
        <f t="shared" si="3"/>
        <v>0.01722906624</v>
      </c>
      <c r="M1128" s="5">
        <f t="shared" si="4"/>
        <v>0.008779237424</v>
      </c>
      <c r="Q1128" s="5"/>
    </row>
    <row r="1129">
      <c r="A1129" s="4">
        <f>IFERROR(__xludf.DUMMYFUNCTION("""COMPUTED_VALUE"""),45923.66666666667)</f>
        <v>45923.66667</v>
      </c>
      <c r="B1129" s="1">
        <f>IFERROR(__xludf.DUMMYFUNCTION("""COMPUTED_VALUE"""),254.43)</f>
        <v>254.43</v>
      </c>
      <c r="C1129" s="4">
        <f>IFERROR(__xludf.DUMMYFUNCTION("""COMPUTED_VALUE"""),45923.66666666667)</f>
        <v>45923.66667</v>
      </c>
      <c r="D1129" s="1">
        <f>IFERROR(__xludf.DUMMYFUNCTION("""COMPUTED_VALUE"""),509.23)</f>
        <v>509.23</v>
      </c>
      <c r="E1129" s="4">
        <f>IFERROR(__xludf.DUMMYFUNCTION("""COMPUTED_VALUE"""),45923.66666666667)</f>
        <v>45923.66667</v>
      </c>
      <c r="F1129" s="1">
        <f>IFERROR(__xludf.DUMMYFUNCTION("""COMPUTED_VALUE"""),113.95)</f>
        <v>113.95</v>
      </c>
      <c r="G1129" s="4">
        <f>IFERROR(__xludf.DUMMYFUNCTION("""COMPUTED_VALUE"""),45923.66666666667)</f>
        <v>45923.66667</v>
      </c>
      <c r="H1129" s="1">
        <f>IFERROR(__xludf.DUMMYFUNCTION("""COMPUTED_VALUE"""),157.42)</f>
        <v>157.42</v>
      </c>
      <c r="I1129" s="5">
        <f t="shared" si="1"/>
        <v>-0.008332350745</v>
      </c>
      <c r="K1129" s="5">
        <f t="shared" si="2"/>
        <v>0</v>
      </c>
      <c r="L1129" s="5">
        <f t="shared" si="3"/>
        <v>0.005353225099</v>
      </c>
      <c r="M1129" s="5">
        <f t="shared" si="4"/>
        <v>0</v>
      </c>
      <c r="Q1129" s="5"/>
    </row>
    <row r="1130">
      <c r="A1130" s="4">
        <f>IFERROR(__xludf.DUMMYFUNCTION("""COMPUTED_VALUE"""),45924.66666666667)</f>
        <v>45924.66667</v>
      </c>
      <c r="B1130" s="1">
        <f>IFERROR(__xludf.DUMMYFUNCTION("""COMPUTED_VALUE"""),252.31)</f>
        <v>252.31</v>
      </c>
      <c r="C1130" s="4">
        <f>IFERROR(__xludf.DUMMYFUNCTION("""COMPUTED_VALUE"""),45924.66666666667)</f>
        <v>45924.66667</v>
      </c>
      <c r="D1130" s="1">
        <f>IFERROR(__xludf.DUMMYFUNCTION("""COMPUTED_VALUE"""),509.23)</f>
        <v>509.23</v>
      </c>
      <c r="E1130" s="4">
        <f>IFERROR(__xludf.DUMMYFUNCTION("""COMPUTED_VALUE"""),45924.66666666667)</f>
        <v>45924.66667</v>
      </c>
      <c r="F1130" s="1">
        <f>IFERROR(__xludf.DUMMYFUNCTION("""COMPUTED_VALUE"""),114.56)</f>
        <v>114.56</v>
      </c>
      <c r="G1130" s="4">
        <f>IFERROR(__xludf.DUMMYFUNCTION("""COMPUTED_VALUE"""),45924.66666666667)</f>
        <v>45924.66667</v>
      </c>
      <c r="H1130" s="1">
        <f>IFERROR(__xludf.DUMMYFUNCTION("""COMPUTED_VALUE"""),157.42)</f>
        <v>157.42</v>
      </c>
      <c r="I1130" s="5">
        <f t="shared" si="1"/>
        <v>0.01807300543</v>
      </c>
      <c r="K1130" s="5">
        <f t="shared" si="2"/>
        <v>-0.004320248218</v>
      </c>
      <c r="L1130" s="5">
        <f t="shared" si="3"/>
        <v>0.008990921788</v>
      </c>
      <c r="M1130" s="5">
        <f t="shared" si="4"/>
        <v>0.02096302884</v>
      </c>
      <c r="Q1130" s="5"/>
    </row>
    <row r="1131">
      <c r="A1131" s="4">
        <f>IFERROR(__xludf.DUMMYFUNCTION("""COMPUTED_VALUE"""),45925.66666666667)</f>
        <v>45925.66667</v>
      </c>
      <c r="B1131" s="1">
        <f>IFERROR(__xludf.DUMMYFUNCTION("""COMPUTED_VALUE"""),256.87)</f>
        <v>256.87</v>
      </c>
      <c r="C1131" s="4">
        <f>IFERROR(__xludf.DUMMYFUNCTION("""COMPUTED_VALUE"""),45925.66666666667)</f>
        <v>45925.66667</v>
      </c>
      <c r="D1131" s="1">
        <f>IFERROR(__xludf.DUMMYFUNCTION("""COMPUTED_VALUE"""),507.03)</f>
        <v>507.03</v>
      </c>
      <c r="E1131" s="4">
        <f>IFERROR(__xludf.DUMMYFUNCTION("""COMPUTED_VALUE"""),45925.66666666667)</f>
        <v>45925.66667</v>
      </c>
      <c r="F1131" s="1">
        <f>IFERROR(__xludf.DUMMYFUNCTION("""COMPUTED_VALUE"""),115.59)</f>
        <v>115.59</v>
      </c>
      <c r="G1131" s="4">
        <f>IFERROR(__xludf.DUMMYFUNCTION("""COMPUTED_VALUE"""),45925.66666666667)</f>
        <v>45925.66667</v>
      </c>
      <c r="H1131" s="1">
        <f>IFERROR(__xludf.DUMMYFUNCTION("""COMPUTED_VALUE"""),160.72)</f>
        <v>160.72</v>
      </c>
      <c r="I1131" s="5">
        <f t="shared" si="1"/>
        <v>-0.00548915794</v>
      </c>
      <c r="K1131" s="5">
        <f t="shared" si="2"/>
        <v>0.008737155592</v>
      </c>
      <c r="L1131" s="5">
        <f t="shared" si="3"/>
        <v>0.01410156588</v>
      </c>
      <c r="M1131" s="5">
        <f t="shared" si="4"/>
        <v>-0.003484320557</v>
      </c>
      <c r="Q1131" s="5"/>
    </row>
    <row r="1132">
      <c r="A1132" s="4">
        <f>IFERROR(__xludf.DUMMYFUNCTION("""COMPUTED_VALUE"""),45926.66666666667)</f>
        <v>45926.66667</v>
      </c>
      <c r="B1132" s="1">
        <f>IFERROR(__xludf.DUMMYFUNCTION("""COMPUTED_VALUE"""),255.46)</f>
        <v>255.46</v>
      </c>
      <c r="C1132" s="4">
        <f>IFERROR(__xludf.DUMMYFUNCTION("""COMPUTED_VALUE"""),45926.66666666667)</f>
        <v>45926.66667</v>
      </c>
      <c r="D1132" s="1">
        <f>IFERROR(__xludf.DUMMYFUNCTION("""COMPUTED_VALUE"""),511.46)</f>
        <v>511.46</v>
      </c>
      <c r="E1132" s="4">
        <f>IFERROR(__xludf.DUMMYFUNCTION("""COMPUTED_VALUE"""),45926.66666666667)</f>
        <v>45926.66667</v>
      </c>
      <c r="F1132" s="1">
        <f>IFERROR(__xludf.DUMMYFUNCTION("""COMPUTED_VALUE"""),117.22)</f>
        <v>117.22</v>
      </c>
      <c r="G1132" s="4">
        <f>IFERROR(__xludf.DUMMYFUNCTION("""COMPUTED_VALUE"""),45926.66666666667)</f>
        <v>45926.66667</v>
      </c>
      <c r="H1132" s="1">
        <f>IFERROR(__xludf.DUMMYFUNCTION("""COMPUTED_VALUE"""),160.16)</f>
        <v>160.16</v>
      </c>
      <c r="I1132" s="5">
        <f t="shared" si="1"/>
        <v>-0.004031942378</v>
      </c>
      <c r="K1132" s="5">
        <f t="shared" si="2"/>
        <v>0.00613928753</v>
      </c>
      <c r="L1132" s="5">
        <f t="shared" si="3"/>
        <v>-0.02559290224</v>
      </c>
      <c r="M1132" s="5">
        <f t="shared" si="4"/>
        <v>-0.02534965035</v>
      </c>
      <c r="Q1132" s="5"/>
    </row>
    <row r="1133">
      <c r="A1133" s="4">
        <f>IFERROR(__xludf.DUMMYFUNCTION("""COMPUTED_VALUE"""),45929.66666666667)</f>
        <v>45929.66667</v>
      </c>
      <c r="B1133" s="1">
        <f>IFERROR(__xludf.DUMMYFUNCTION("""COMPUTED_VALUE"""),254.43)</f>
        <v>254.43</v>
      </c>
      <c r="C1133" s="4">
        <f>IFERROR(__xludf.DUMMYFUNCTION("""COMPUTED_VALUE"""),45929.66666666667)</f>
        <v>45929.66667</v>
      </c>
      <c r="D1133" s="1">
        <f>IFERROR(__xludf.DUMMYFUNCTION("""COMPUTED_VALUE"""),514.6)</f>
        <v>514.6</v>
      </c>
      <c r="E1133" s="4">
        <f>IFERROR(__xludf.DUMMYFUNCTION("""COMPUTED_VALUE"""),45929.66666666667)</f>
        <v>45929.66667</v>
      </c>
      <c r="F1133" s="1">
        <f>IFERROR(__xludf.DUMMYFUNCTION("""COMPUTED_VALUE"""),114.22)</f>
        <v>114.22</v>
      </c>
      <c r="G1133" s="4">
        <f>IFERROR(__xludf.DUMMYFUNCTION("""COMPUTED_VALUE"""),45929.66666666667)</f>
        <v>45929.66667</v>
      </c>
      <c r="H1133" s="1">
        <f>IFERROR(__xludf.DUMMYFUNCTION("""COMPUTED_VALUE"""),156.1)</f>
        <v>156.1</v>
      </c>
      <c r="I1133" s="5">
        <f t="shared" si="1"/>
        <v>0.000786070825</v>
      </c>
      <c r="K1133" s="5">
        <f t="shared" si="2"/>
        <v>0.00650991061</v>
      </c>
      <c r="L1133" s="5">
        <f t="shared" si="3"/>
        <v>-0.01286990019</v>
      </c>
      <c r="M1133" s="5">
        <f t="shared" si="4"/>
        <v>-0.005188981422</v>
      </c>
      <c r="Q1133" s="5"/>
    </row>
    <row r="1134">
      <c r="A1134" s="4">
        <f>IFERROR(__xludf.DUMMYFUNCTION("""COMPUTED_VALUE"""),45930.66666666667)</f>
        <v>45930.66667</v>
      </c>
      <c r="B1134" s="1">
        <f>IFERROR(__xludf.DUMMYFUNCTION("""COMPUTED_VALUE"""),254.63)</f>
        <v>254.63</v>
      </c>
      <c r="C1134" s="4">
        <f>IFERROR(__xludf.DUMMYFUNCTION("""COMPUTED_VALUE"""),45930.66666666667)</f>
        <v>45930.66667</v>
      </c>
      <c r="D1134" s="1">
        <f>IFERROR(__xludf.DUMMYFUNCTION("""COMPUTED_VALUE"""),517.95)</f>
        <v>517.95</v>
      </c>
      <c r="E1134" s="4">
        <f>IFERROR(__xludf.DUMMYFUNCTION("""COMPUTED_VALUE"""),45930.66666666667)</f>
        <v>45930.66667</v>
      </c>
      <c r="F1134" s="1">
        <f>IFERROR(__xludf.DUMMYFUNCTION("""COMPUTED_VALUE"""),112.75)</f>
        <v>112.75</v>
      </c>
      <c r="G1134" s="4">
        <f>IFERROR(__xludf.DUMMYFUNCTION("""COMPUTED_VALUE"""),45930.66666666667)</f>
        <v>45930.66667</v>
      </c>
      <c r="H1134" s="1">
        <f>IFERROR(__xludf.DUMMYFUNCTION("""COMPUTED_VALUE"""),155.29)</f>
        <v>155.29</v>
      </c>
      <c r="I1134" s="5">
        <f t="shared" si="1"/>
        <v>0.003220358952</v>
      </c>
      <c r="K1134" s="5">
        <f t="shared" si="2"/>
        <v>0.003398011391</v>
      </c>
      <c r="L1134" s="5">
        <f t="shared" si="3"/>
        <v>-0.006740576497</v>
      </c>
      <c r="M1134" s="5">
        <f t="shared" si="4"/>
        <v>-0.004572090927</v>
      </c>
      <c r="Q1134" s="5"/>
    </row>
    <row r="1135">
      <c r="A1135" s="4">
        <f>IFERROR(__xludf.DUMMYFUNCTION("""COMPUTED_VALUE"""),45931.66666666667)</f>
        <v>45931.66667</v>
      </c>
      <c r="B1135" s="1">
        <f>IFERROR(__xludf.DUMMYFUNCTION("""COMPUTED_VALUE"""),255.45)</f>
        <v>255.45</v>
      </c>
      <c r="C1135" s="4">
        <f>IFERROR(__xludf.DUMMYFUNCTION("""COMPUTED_VALUE"""),45931.66666666667)</f>
        <v>45931.66667</v>
      </c>
      <c r="D1135" s="1">
        <f>IFERROR(__xludf.DUMMYFUNCTION("""COMPUTED_VALUE"""),519.71)</f>
        <v>519.71</v>
      </c>
      <c r="E1135" s="4">
        <f>IFERROR(__xludf.DUMMYFUNCTION("""COMPUTED_VALUE"""),45931.66666666667)</f>
        <v>45931.66667</v>
      </c>
      <c r="F1135" s="1">
        <f>IFERROR(__xludf.DUMMYFUNCTION("""COMPUTED_VALUE"""),111.99)</f>
        <v>111.99</v>
      </c>
      <c r="G1135" s="4">
        <f>IFERROR(__xludf.DUMMYFUNCTION("""COMPUTED_VALUE"""),45931.66666666667)</f>
        <v>45931.66667</v>
      </c>
      <c r="H1135" s="1">
        <f>IFERROR(__xludf.DUMMYFUNCTION("""COMPUTED_VALUE"""),154.58)</f>
        <v>154.58</v>
      </c>
      <c r="I1135" s="5">
        <f t="shared" si="1"/>
        <v>0.006576629477</v>
      </c>
      <c r="K1135" s="5">
        <f t="shared" si="2"/>
        <v>-0.007638875527</v>
      </c>
      <c r="L1135" s="5">
        <f t="shared" si="3"/>
        <v>-0.006250558086</v>
      </c>
      <c r="M1135" s="5">
        <f t="shared" si="4"/>
        <v>-0.007827662052</v>
      </c>
      <c r="Q1135" s="5"/>
    </row>
    <row r="1136">
      <c r="A1136" s="4">
        <f>IFERROR(__xludf.DUMMYFUNCTION("""COMPUTED_VALUE"""),45932.66666666667)</f>
        <v>45932.66667</v>
      </c>
      <c r="B1136" s="1">
        <f>IFERROR(__xludf.DUMMYFUNCTION("""COMPUTED_VALUE"""),257.13)</f>
        <v>257.13</v>
      </c>
      <c r="C1136" s="4">
        <f>IFERROR(__xludf.DUMMYFUNCTION("""COMPUTED_VALUE"""),45932.66666666667)</f>
        <v>45932.66667</v>
      </c>
      <c r="D1136" s="1">
        <f>IFERROR(__xludf.DUMMYFUNCTION("""COMPUTED_VALUE"""),515.74)</f>
        <v>515.74</v>
      </c>
      <c r="E1136" s="4">
        <f>IFERROR(__xludf.DUMMYFUNCTION("""COMPUTED_VALUE"""),45932.66666666667)</f>
        <v>45932.66667</v>
      </c>
      <c r="F1136" s="1">
        <f>IFERROR(__xludf.DUMMYFUNCTION("""COMPUTED_VALUE"""),111.29)</f>
        <v>111.29</v>
      </c>
      <c r="G1136" s="4">
        <f>IFERROR(__xludf.DUMMYFUNCTION("""COMPUTED_VALUE"""),45932.66666666667)</f>
        <v>45932.66667</v>
      </c>
      <c r="H1136" s="1">
        <f>IFERROR(__xludf.DUMMYFUNCTION("""COMPUTED_VALUE"""),153.37)</f>
        <v>153.37</v>
      </c>
      <c r="I1136" s="5">
        <f t="shared" si="1"/>
        <v>0.003461284175</v>
      </c>
      <c r="K1136" s="5">
        <f t="shared" si="2"/>
        <v>0.003121728002</v>
      </c>
      <c r="L1136" s="5">
        <f t="shared" si="3"/>
        <v>0.01770150058</v>
      </c>
      <c r="M1136" s="5">
        <f t="shared" si="4"/>
        <v>0.001173632392</v>
      </c>
      <c r="Q1136" s="5"/>
    </row>
    <row r="1137">
      <c r="A1137" s="4">
        <f>IFERROR(__xludf.DUMMYFUNCTION("""COMPUTED_VALUE"""),45933.66666666667)</f>
        <v>45933.66667</v>
      </c>
      <c r="B1137" s="1">
        <f>IFERROR(__xludf.DUMMYFUNCTION("""COMPUTED_VALUE"""),258.02)</f>
        <v>258.02</v>
      </c>
      <c r="C1137" s="4">
        <f>IFERROR(__xludf.DUMMYFUNCTION("""COMPUTED_VALUE"""),45933.66666666667)</f>
        <v>45933.66667</v>
      </c>
      <c r="D1137" s="1">
        <f>IFERROR(__xludf.DUMMYFUNCTION("""COMPUTED_VALUE"""),517.35)</f>
        <v>517.35</v>
      </c>
      <c r="E1137" s="4">
        <f>IFERROR(__xludf.DUMMYFUNCTION("""COMPUTED_VALUE"""),45933.66666666667)</f>
        <v>45933.66667</v>
      </c>
      <c r="F1137" s="1">
        <f>IFERROR(__xludf.DUMMYFUNCTION("""COMPUTED_VALUE"""),113.26)</f>
        <v>113.26</v>
      </c>
      <c r="G1137" s="4">
        <f>IFERROR(__xludf.DUMMYFUNCTION("""COMPUTED_VALUE"""),45933.66666666667)</f>
        <v>45933.66667</v>
      </c>
      <c r="H1137" s="1">
        <f>IFERROR(__xludf.DUMMYFUNCTION("""COMPUTED_VALUE"""),153.55)</f>
        <v>153.55</v>
      </c>
      <c r="I1137" s="5">
        <f t="shared" si="1"/>
        <v>-0.005154639175</v>
      </c>
      <c r="K1137" s="5">
        <f t="shared" si="2"/>
        <v>0.02168744564</v>
      </c>
      <c r="L1137" s="5">
        <f t="shared" si="3"/>
        <v>0.008299487904</v>
      </c>
      <c r="M1137" s="5">
        <f t="shared" si="4"/>
        <v>0.003060892218</v>
      </c>
      <c r="Q1137" s="5"/>
    </row>
    <row r="1138">
      <c r="A1138" s="4">
        <f>IFERROR(__xludf.DUMMYFUNCTION("""COMPUTED_VALUE"""),45936.66666666667)</f>
        <v>45936.66667</v>
      </c>
      <c r="B1138" s="1">
        <f>IFERROR(__xludf.DUMMYFUNCTION("""COMPUTED_VALUE"""),256.69)</f>
        <v>256.69</v>
      </c>
      <c r="C1138" s="4">
        <f>IFERROR(__xludf.DUMMYFUNCTION("""COMPUTED_VALUE"""),45936.66666666667)</f>
        <v>45936.66667</v>
      </c>
      <c r="D1138" s="1">
        <f>IFERROR(__xludf.DUMMYFUNCTION("""COMPUTED_VALUE"""),528.57)</f>
        <v>528.57</v>
      </c>
      <c r="E1138" s="4">
        <f>IFERROR(__xludf.DUMMYFUNCTION("""COMPUTED_VALUE"""),45936.66666666667)</f>
        <v>45936.66667</v>
      </c>
      <c r="F1138" s="1">
        <f>IFERROR(__xludf.DUMMYFUNCTION("""COMPUTED_VALUE"""),114.2)</f>
        <v>114.2</v>
      </c>
      <c r="G1138" s="4">
        <f>IFERROR(__xludf.DUMMYFUNCTION("""COMPUTED_VALUE"""),45936.66666666667)</f>
        <v>45936.66667</v>
      </c>
      <c r="H1138" s="1">
        <f>IFERROR(__xludf.DUMMYFUNCTION("""COMPUTED_VALUE"""),154.02)</f>
        <v>154.02</v>
      </c>
      <c r="I1138" s="5">
        <f t="shared" si="1"/>
        <v>-0.0008181074448</v>
      </c>
      <c r="K1138" s="5">
        <f t="shared" si="2"/>
        <v>-0.008683807254</v>
      </c>
      <c r="L1138" s="5">
        <f t="shared" si="3"/>
        <v>0.0005253940455</v>
      </c>
      <c r="M1138" s="5">
        <f t="shared" si="4"/>
        <v>0.005778470329</v>
      </c>
      <c r="Q1138" s="5"/>
    </row>
    <row r="1139">
      <c r="A1139" s="4">
        <f>IFERROR(__xludf.DUMMYFUNCTION("""COMPUTED_VALUE"""),45937.66666666667)</f>
        <v>45937.66667</v>
      </c>
      <c r="B1139" s="1">
        <f>IFERROR(__xludf.DUMMYFUNCTION("""COMPUTED_VALUE"""),256.48)</f>
        <v>256.48</v>
      </c>
      <c r="C1139" s="4">
        <f>IFERROR(__xludf.DUMMYFUNCTION("""COMPUTED_VALUE"""),45937.66666666667)</f>
        <v>45937.66667</v>
      </c>
      <c r="D1139" s="1">
        <f>IFERROR(__xludf.DUMMYFUNCTION("""COMPUTED_VALUE"""),523.98)</f>
        <v>523.98</v>
      </c>
      <c r="E1139" s="4">
        <f>IFERROR(__xludf.DUMMYFUNCTION("""COMPUTED_VALUE"""),45937.66666666667)</f>
        <v>45937.66667</v>
      </c>
      <c r="F1139" s="1">
        <f>IFERROR(__xludf.DUMMYFUNCTION("""COMPUTED_VALUE"""),114.26)</f>
        <v>114.26</v>
      </c>
      <c r="G1139" s="4">
        <f>IFERROR(__xludf.DUMMYFUNCTION("""COMPUTED_VALUE"""),45937.66666666667)</f>
        <v>45937.66667</v>
      </c>
      <c r="H1139" s="1">
        <f>IFERROR(__xludf.DUMMYFUNCTION("""COMPUTED_VALUE"""),154.91)</f>
        <v>154.91</v>
      </c>
      <c r="I1139" s="5">
        <f t="shared" si="1"/>
        <v>0.006160324392</v>
      </c>
      <c r="K1139" s="5">
        <f t="shared" si="2"/>
        <v>0.001660368716</v>
      </c>
      <c r="L1139" s="5">
        <f t="shared" si="3"/>
        <v>-0.002100472606</v>
      </c>
      <c r="M1139" s="5">
        <f t="shared" si="4"/>
        <v>-0.007552772578</v>
      </c>
      <c r="Q1139" s="5"/>
    </row>
    <row r="1140">
      <c r="A1140" s="4">
        <f>IFERROR(__xludf.DUMMYFUNCTION("""COMPUTED_VALUE"""),45938.66666666667)</f>
        <v>45938.66667</v>
      </c>
      <c r="B1140" s="1">
        <f>IFERROR(__xludf.DUMMYFUNCTION("""COMPUTED_VALUE"""),258.06)</f>
        <v>258.06</v>
      </c>
      <c r="C1140" s="4">
        <f>IFERROR(__xludf.DUMMYFUNCTION("""COMPUTED_VALUE"""),45938.66666666667)</f>
        <v>45938.66667</v>
      </c>
      <c r="D1140" s="1">
        <f>IFERROR(__xludf.DUMMYFUNCTION("""COMPUTED_VALUE"""),524.85)</f>
        <v>524.85</v>
      </c>
      <c r="E1140" s="4">
        <f>IFERROR(__xludf.DUMMYFUNCTION("""COMPUTED_VALUE"""),45938.66666666667)</f>
        <v>45938.66667</v>
      </c>
      <c r="F1140" s="1">
        <f>IFERROR(__xludf.DUMMYFUNCTION("""COMPUTED_VALUE"""),114.02)</f>
        <v>114.02</v>
      </c>
      <c r="G1140" s="4">
        <f>IFERROR(__xludf.DUMMYFUNCTION("""COMPUTED_VALUE"""),45938.66666666667)</f>
        <v>45938.66667</v>
      </c>
      <c r="H1140" s="1">
        <f>IFERROR(__xludf.DUMMYFUNCTION("""COMPUTED_VALUE"""),153.74)</f>
        <v>153.74</v>
      </c>
      <c r="I1140" s="5">
        <f t="shared" si="1"/>
        <v>-0.01557777261</v>
      </c>
      <c r="K1140" s="5">
        <f t="shared" si="2"/>
        <v>-0.004668000381</v>
      </c>
      <c r="L1140" s="5">
        <f t="shared" si="3"/>
        <v>-0.009735134187</v>
      </c>
      <c r="M1140" s="5">
        <f t="shared" si="4"/>
        <v>-0.013659425</v>
      </c>
      <c r="Q1140" s="5"/>
    </row>
    <row r="1141">
      <c r="A1141" s="4">
        <f>IFERROR(__xludf.DUMMYFUNCTION("""COMPUTED_VALUE"""),45939.66666666667)</f>
        <v>45939.66667</v>
      </c>
      <c r="B1141" s="1">
        <f>IFERROR(__xludf.DUMMYFUNCTION("""COMPUTED_VALUE"""),254.04)</f>
        <v>254.04</v>
      </c>
      <c r="C1141" s="4">
        <f>IFERROR(__xludf.DUMMYFUNCTION("""COMPUTED_VALUE"""),45939.66666666667)</f>
        <v>45939.66667</v>
      </c>
      <c r="D1141" s="1">
        <f>IFERROR(__xludf.DUMMYFUNCTION("""COMPUTED_VALUE"""),522.4)</f>
        <v>522.4</v>
      </c>
      <c r="E1141" s="4">
        <f>IFERROR(__xludf.DUMMYFUNCTION("""COMPUTED_VALUE"""),45939.66666666667)</f>
        <v>45939.66667</v>
      </c>
      <c r="F1141" s="1">
        <f>IFERROR(__xludf.DUMMYFUNCTION("""COMPUTED_VALUE"""),112.91)</f>
        <v>112.91</v>
      </c>
      <c r="G1141" s="4">
        <f>IFERROR(__xludf.DUMMYFUNCTION("""COMPUTED_VALUE"""),45939.66666666667)</f>
        <v>45939.66667</v>
      </c>
      <c r="H1141" s="1">
        <f>IFERROR(__xludf.DUMMYFUNCTION("""COMPUTED_VALUE"""),151.64)</f>
        <v>151.64</v>
      </c>
      <c r="I1141" s="5">
        <f t="shared" si="1"/>
        <v>-0.0345221225</v>
      </c>
      <c r="K1141" s="5">
        <f t="shared" si="2"/>
        <v>-0.02189892802</v>
      </c>
      <c r="L1141" s="5">
        <f t="shared" si="3"/>
        <v>-0.01930741298</v>
      </c>
      <c r="M1141" s="5">
        <f t="shared" si="4"/>
        <v>-0.01806911105</v>
      </c>
      <c r="Q1141" s="5"/>
    </row>
    <row r="1142">
      <c r="A1142" s="4">
        <f>IFERROR(__xludf.DUMMYFUNCTION("""COMPUTED_VALUE"""),45940.66666666667)</f>
        <v>45940.66667</v>
      </c>
      <c r="B1142" s="1">
        <f>IFERROR(__xludf.DUMMYFUNCTION("""COMPUTED_VALUE"""),245.27)</f>
        <v>245.27</v>
      </c>
      <c r="C1142" s="4">
        <f>IFERROR(__xludf.DUMMYFUNCTION("""COMPUTED_VALUE"""),45940.66666666667)</f>
        <v>45940.66667</v>
      </c>
      <c r="D1142" s="1">
        <f>IFERROR(__xludf.DUMMYFUNCTION("""COMPUTED_VALUE"""),510.96)</f>
        <v>510.96</v>
      </c>
      <c r="E1142" s="4">
        <f>IFERROR(__xludf.DUMMYFUNCTION("""COMPUTED_VALUE"""),45940.66666666667)</f>
        <v>45940.66667</v>
      </c>
      <c r="F1142" s="1">
        <f>IFERROR(__xludf.DUMMYFUNCTION("""COMPUTED_VALUE"""),110.73)</f>
        <v>110.73</v>
      </c>
      <c r="G1142" s="4">
        <f>IFERROR(__xludf.DUMMYFUNCTION("""COMPUTED_VALUE"""),45940.66666666667)</f>
        <v>45940.66667</v>
      </c>
      <c r="H1142" s="1">
        <f>IFERROR(__xludf.DUMMYFUNCTION("""COMPUTED_VALUE"""),148.9)</f>
        <v>148.9</v>
      </c>
      <c r="I1142" s="5">
        <f t="shared" si="1"/>
        <v>0.009744363355</v>
      </c>
      <c r="K1142" s="5">
        <f t="shared" si="2"/>
        <v>0.006047440113</v>
      </c>
      <c r="L1142" s="5">
        <f t="shared" si="3"/>
        <v>0.01363677414</v>
      </c>
      <c r="M1142" s="5">
        <f t="shared" si="4"/>
        <v>0.02041638684</v>
      </c>
      <c r="Q1142" s="5"/>
    </row>
    <row r="1143">
      <c r="A1143" s="4">
        <f>IFERROR(__xludf.DUMMYFUNCTION("""COMPUTED_VALUE"""),45943.66666666667)</f>
        <v>45943.66667</v>
      </c>
      <c r="B1143" s="1">
        <f>IFERROR(__xludf.DUMMYFUNCTION("""COMPUTED_VALUE"""),247.66)</f>
        <v>247.66</v>
      </c>
      <c r="C1143" s="4">
        <f>IFERROR(__xludf.DUMMYFUNCTION("""COMPUTED_VALUE"""),45943.66666666667)</f>
        <v>45943.66667</v>
      </c>
      <c r="D1143" s="1">
        <f>IFERROR(__xludf.DUMMYFUNCTION("""COMPUTED_VALUE"""),514.05)</f>
        <v>514.05</v>
      </c>
      <c r="E1143" s="4">
        <f>IFERROR(__xludf.DUMMYFUNCTION("""COMPUTED_VALUE"""),45943.66666666667)</f>
        <v>45943.66667</v>
      </c>
      <c r="F1143" s="1">
        <f>IFERROR(__xludf.DUMMYFUNCTION("""COMPUTED_VALUE"""),112.24)</f>
        <v>112.24</v>
      </c>
      <c r="G1143" s="4">
        <f>IFERROR(__xludf.DUMMYFUNCTION("""COMPUTED_VALUE"""),45943.66666666667)</f>
        <v>45943.66667</v>
      </c>
      <c r="H1143" s="1">
        <f>IFERROR(__xludf.DUMMYFUNCTION("""COMPUTED_VALUE"""),151.94)</f>
        <v>151.94</v>
      </c>
      <c r="I1143" s="5">
        <f t="shared" si="1"/>
        <v>0.0004441573124</v>
      </c>
      <c r="K1143" s="5">
        <f t="shared" si="2"/>
        <v>-0.0009337613073</v>
      </c>
      <c r="L1143" s="5">
        <f t="shared" si="3"/>
        <v>0.0004454739843</v>
      </c>
      <c r="M1143" s="5">
        <f t="shared" si="4"/>
        <v>0.002961695406</v>
      </c>
      <c r="Q1143" s="5"/>
    </row>
    <row r="1144">
      <c r="A1144" s="4">
        <f>IFERROR(__xludf.DUMMYFUNCTION("""COMPUTED_VALUE"""),45944.66666666667)</f>
        <v>45944.66667</v>
      </c>
      <c r="B1144" s="1">
        <f>IFERROR(__xludf.DUMMYFUNCTION("""COMPUTED_VALUE"""),247.77)</f>
        <v>247.77</v>
      </c>
      <c r="C1144" s="4">
        <f>IFERROR(__xludf.DUMMYFUNCTION("""COMPUTED_VALUE"""),45944.66666666667)</f>
        <v>45944.66667</v>
      </c>
      <c r="D1144" s="1">
        <f>IFERROR(__xludf.DUMMYFUNCTION("""COMPUTED_VALUE"""),513.57)</f>
        <v>513.57</v>
      </c>
      <c r="E1144" s="4">
        <f>IFERROR(__xludf.DUMMYFUNCTION("""COMPUTED_VALUE"""),45944.66666666667)</f>
        <v>45944.66667</v>
      </c>
      <c r="F1144" s="1">
        <f>IFERROR(__xludf.DUMMYFUNCTION("""COMPUTED_VALUE"""),112.29)</f>
        <v>112.29</v>
      </c>
      <c r="G1144" s="4">
        <f>IFERROR(__xludf.DUMMYFUNCTION("""COMPUTED_VALUE"""),45944.66666666667)</f>
        <v>45944.66667</v>
      </c>
      <c r="H1144" s="1">
        <f>IFERROR(__xludf.DUMMYFUNCTION("""COMPUTED_VALUE"""),152.39)</f>
        <v>152.39</v>
      </c>
      <c r="I1144" s="5">
        <f t="shared" si="1"/>
        <v>0.006336521774</v>
      </c>
      <c r="K1144" s="5">
        <f t="shared" si="2"/>
        <v>-0.0002726015928</v>
      </c>
      <c r="L1144" s="5">
        <f t="shared" si="3"/>
        <v>-0.006055748508</v>
      </c>
      <c r="M1144" s="5">
        <f t="shared" si="4"/>
        <v>-0.001837390905</v>
      </c>
      <c r="Q1144" s="5"/>
    </row>
    <row r="1145">
      <c r="A1145" s="4">
        <f>IFERROR(__xludf.DUMMYFUNCTION("""COMPUTED_VALUE"""),45945.66666666667)</f>
        <v>45945.66667</v>
      </c>
      <c r="B1145" s="1">
        <f>IFERROR(__xludf.DUMMYFUNCTION("""COMPUTED_VALUE"""),249.34)</f>
        <v>249.34</v>
      </c>
      <c r="C1145" s="4">
        <f>IFERROR(__xludf.DUMMYFUNCTION("""COMPUTED_VALUE"""),45945.66666666667)</f>
        <v>45945.66667</v>
      </c>
      <c r="D1145" s="1">
        <f>IFERROR(__xludf.DUMMYFUNCTION("""COMPUTED_VALUE"""),513.43)</f>
        <v>513.43</v>
      </c>
      <c r="E1145" s="4">
        <f>IFERROR(__xludf.DUMMYFUNCTION("""COMPUTED_VALUE"""),45945.66666666667)</f>
        <v>45945.66667</v>
      </c>
      <c r="F1145" s="1">
        <f>IFERROR(__xludf.DUMMYFUNCTION("""COMPUTED_VALUE"""),111.61)</f>
        <v>111.61</v>
      </c>
      <c r="G1145" s="4">
        <f>IFERROR(__xludf.DUMMYFUNCTION("""COMPUTED_VALUE"""),45945.66666666667)</f>
        <v>45945.66667</v>
      </c>
      <c r="H1145" s="1">
        <f>IFERROR(__xludf.DUMMYFUNCTION("""COMPUTED_VALUE"""),152.11)</f>
        <v>152.11</v>
      </c>
      <c r="I1145" s="5">
        <f t="shared" si="1"/>
        <v>-0.00758001123</v>
      </c>
      <c r="K1145" s="5">
        <f t="shared" si="2"/>
        <v>-0.003544787021</v>
      </c>
      <c r="L1145" s="5">
        <f t="shared" si="3"/>
        <v>-0.008690977511</v>
      </c>
      <c r="M1145" s="5">
        <f t="shared" si="4"/>
        <v>-0.002629675892</v>
      </c>
      <c r="Q1145" s="5"/>
    </row>
    <row r="1146">
      <c r="A1146" s="4">
        <f>IFERROR(__xludf.DUMMYFUNCTION("""COMPUTED_VALUE"""),45946.66666666667)</f>
        <v>45946.66667</v>
      </c>
      <c r="B1146" s="1">
        <f>IFERROR(__xludf.DUMMYFUNCTION("""COMPUTED_VALUE"""),247.45)</f>
        <v>247.45</v>
      </c>
      <c r="C1146" s="4">
        <f>IFERROR(__xludf.DUMMYFUNCTION("""COMPUTED_VALUE"""),45946.66666666667)</f>
        <v>45946.66667</v>
      </c>
      <c r="D1146" s="1">
        <f>IFERROR(__xludf.DUMMYFUNCTION("""COMPUTED_VALUE"""),511.61)</f>
        <v>511.61</v>
      </c>
      <c r="E1146" s="4">
        <f>IFERROR(__xludf.DUMMYFUNCTION("""COMPUTED_VALUE"""),45946.66666666667)</f>
        <v>45946.66667</v>
      </c>
      <c r="F1146" s="1">
        <f>IFERROR(__xludf.DUMMYFUNCTION("""COMPUTED_VALUE"""),110.64)</f>
        <v>110.64</v>
      </c>
      <c r="G1146" s="4">
        <f>IFERROR(__xludf.DUMMYFUNCTION("""COMPUTED_VALUE"""),45946.66666666667)</f>
        <v>45946.66667</v>
      </c>
      <c r="H1146" s="1">
        <f>IFERROR(__xludf.DUMMYFUNCTION("""COMPUTED_VALUE"""),151.71)</f>
        <v>151.71</v>
      </c>
      <c r="I1146" s="5">
        <f t="shared" si="1"/>
        <v>0.01955950697</v>
      </c>
      <c r="K1146" s="5">
        <f t="shared" si="2"/>
        <v>0.003850589316</v>
      </c>
      <c r="L1146" s="5">
        <f t="shared" si="3"/>
        <v>0.01446131598</v>
      </c>
      <c r="M1146" s="5">
        <f t="shared" si="4"/>
        <v>0.009030386922</v>
      </c>
      <c r="Q1146" s="5"/>
    </row>
    <row r="1147">
      <c r="A1147" s="4">
        <f>IFERROR(__xludf.DUMMYFUNCTION("""COMPUTED_VALUE"""),45947.66666666667)</f>
        <v>45947.66667</v>
      </c>
      <c r="B1147" s="1">
        <f>IFERROR(__xludf.DUMMYFUNCTION("""COMPUTED_VALUE"""),252.29)</f>
        <v>252.29</v>
      </c>
      <c r="C1147" s="4">
        <f>IFERROR(__xludf.DUMMYFUNCTION("""COMPUTED_VALUE"""),45947.66666666667)</f>
        <v>45947.66667</v>
      </c>
      <c r="D1147" s="1">
        <f>IFERROR(__xludf.DUMMYFUNCTION("""COMPUTED_VALUE"""),513.58)</f>
        <v>513.58</v>
      </c>
      <c r="E1147" s="4">
        <f>IFERROR(__xludf.DUMMYFUNCTION("""COMPUTED_VALUE"""),45947.66666666667)</f>
        <v>45947.66667</v>
      </c>
      <c r="F1147" s="1">
        <f>IFERROR(__xludf.DUMMYFUNCTION("""COMPUTED_VALUE"""),112.24)</f>
        <v>112.24</v>
      </c>
      <c r="G1147" s="4">
        <f>IFERROR(__xludf.DUMMYFUNCTION("""COMPUTED_VALUE"""),45947.66666666667)</f>
        <v>45947.66667</v>
      </c>
      <c r="H1147" s="1">
        <f>IFERROR(__xludf.DUMMYFUNCTION("""COMPUTED_VALUE"""),153.08)</f>
        <v>153.08</v>
      </c>
      <c r="I1147" s="5">
        <f t="shared" si="1"/>
        <v>0.03943874113</v>
      </c>
      <c r="K1147" s="5">
        <f t="shared" si="2"/>
        <v>0.00625024339</v>
      </c>
      <c r="L1147" s="5">
        <f t="shared" si="3"/>
        <v>0.004098360656</v>
      </c>
      <c r="M1147" s="5">
        <f t="shared" si="4"/>
        <v>0.009145544813</v>
      </c>
      <c r="Q1147" s="5"/>
    </row>
    <row r="1148">
      <c r="A1148" s="4">
        <f>IFERROR(__xludf.DUMMYFUNCTION("""COMPUTED_VALUE"""),45950.66666666667)</f>
        <v>45950.66667</v>
      </c>
      <c r="B1148" s="1">
        <f>IFERROR(__xludf.DUMMYFUNCTION("""COMPUTED_VALUE"""),262.24)</f>
        <v>262.24</v>
      </c>
      <c r="C1148" s="4">
        <f>IFERROR(__xludf.DUMMYFUNCTION("""COMPUTED_VALUE"""),45950.66666666667)</f>
        <v>45950.66667</v>
      </c>
      <c r="D1148" s="1">
        <f>IFERROR(__xludf.DUMMYFUNCTION("""COMPUTED_VALUE"""),516.79)</f>
        <v>516.79</v>
      </c>
      <c r="E1148" s="4">
        <f>IFERROR(__xludf.DUMMYFUNCTION("""COMPUTED_VALUE"""),45950.66666666667)</f>
        <v>45950.66667</v>
      </c>
      <c r="F1148" s="1">
        <f>IFERROR(__xludf.DUMMYFUNCTION("""COMPUTED_VALUE"""),112.7)</f>
        <v>112.7</v>
      </c>
      <c r="G1148" s="4">
        <f>IFERROR(__xludf.DUMMYFUNCTION("""COMPUTED_VALUE"""),45950.66666666667)</f>
        <v>45950.66667</v>
      </c>
      <c r="H1148" s="1">
        <f>IFERROR(__xludf.DUMMYFUNCTION("""COMPUTED_VALUE"""),154.48)</f>
        <v>154.48</v>
      </c>
      <c r="I1148" s="5">
        <f t="shared" si="1"/>
        <v>0.00202104942</v>
      </c>
      <c r="K1148" s="5">
        <f t="shared" si="2"/>
        <v>0.001683469107</v>
      </c>
      <c r="L1148" s="5">
        <f t="shared" si="3"/>
        <v>0.00008873114463</v>
      </c>
      <c r="M1148" s="5">
        <f t="shared" si="4"/>
        <v>-0.004466597618</v>
      </c>
      <c r="Q1148" s="5"/>
    </row>
    <row r="1149">
      <c r="A1149" s="4">
        <f>IFERROR(__xludf.DUMMYFUNCTION("""COMPUTED_VALUE"""),45951.66666666667)</f>
        <v>45951.66667</v>
      </c>
      <c r="B1149" s="1">
        <f>IFERROR(__xludf.DUMMYFUNCTION("""COMPUTED_VALUE"""),262.77)</f>
        <v>262.77</v>
      </c>
      <c r="C1149" s="4">
        <f>IFERROR(__xludf.DUMMYFUNCTION("""COMPUTED_VALUE"""),45951.66666666667)</f>
        <v>45951.66667</v>
      </c>
      <c r="D1149" s="1">
        <f>IFERROR(__xludf.DUMMYFUNCTION("""COMPUTED_VALUE"""),517.66)</f>
        <v>517.66</v>
      </c>
      <c r="E1149" s="4">
        <f>IFERROR(__xludf.DUMMYFUNCTION("""COMPUTED_VALUE"""),45951.66666666667)</f>
        <v>45951.66667</v>
      </c>
      <c r="F1149" s="1">
        <f>IFERROR(__xludf.DUMMYFUNCTION("""COMPUTED_VALUE"""),112.71)</f>
        <v>112.71</v>
      </c>
      <c r="G1149" s="4">
        <f>IFERROR(__xludf.DUMMYFUNCTION("""COMPUTED_VALUE"""),45951.66666666667)</f>
        <v>45951.66667</v>
      </c>
      <c r="H1149" s="1">
        <f>IFERROR(__xludf.DUMMYFUNCTION("""COMPUTED_VALUE"""),153.79)</f>
        <v>153.79</v>
      </c>
      <c r="I1149" s="5">
        <f t="shared" si="1"/>
        <v>-0.0164402329</v>
      </c>
      <c r="K1149" s="5">
        <f t="shared" si="2"/>
        <v>0.005563497276</v>
      </c>
      <c r="L1149" s="5">
        <f t="shared" si="3"/>
        <v>0.01774465442</v>
      </c>
      <c r="M1149" s="5">
        <f t="shared" si="4"/>
        <v>0.01157422459</v>
      </c>
      <c r="Q1149" s="5"/>
    </row>
    <row r="1150">
      <c r="A1150" s="4">
        <f>IFERROR(__xludf.DUMMYFUNCTION("""COMPUTED_VALUE"""),45952.66666666667)</f>
        <v>45952.66667</v>
      </c>
      <c r="B1150" s="1">
        <f>IFERROR(__xludf.DUMMYFUNCTION("""COMPUTED_VALUE"""),258.45)</f>
        <v>258.45</v>
      </c>
      <c r="C1150" s="4">
        <f>IFERROR(__xludf.DUMMYFUNCTION("""COMPUTED_VALUE"""),45952.66666666667)</f>
        <v>45952.66667</v>
      </c>
      <c r="D1150" s="1">
        <f>IFERROR(__xludf.DUMMYFUNCTION("""COMPUTED_VALUE"""),520.54)</f>
        <v>520.54</v>
      </c>
      <c r="E1150" s="4">
        <f>IFERROR(__xludf.DUMMYFUNCTION("""COMPUTED_VALUE"""),45952.66666666667)</f>
        <v>45952.66667</v>
      </c>
      <c r="F1150" s="1">
        <f>IFERROR(__xludf.DUMMYFUNCTION("""COMPUTED_VALUE"""),114.71)</f>
        <v>114.71</v>
      </c>
      <c r="G1150" s="4">
        <f>IFERROR(__xludf.DUMMYFUNCTION("""COMPUTED_VALUE"""),45952.66666666667)</f>
        <v>45952.66667</v>
      </c>
      <c r="H1150" s="1">
        <f>IFERROR(__xludf.DUMMYFUNCTION("""COMPUTED_VALUE"""),155.57)</f>
        <v>155.57</v>
      </c>
      <c r="I1150" s="5">
        <f t="shared" si="1"/>
        <v>0.004372218998</v>
      </c>
      <c r="K1150" s="5">
        <f t="shared" si="2"/>
        <v>0.00003842163907</v>
      </c>
      <c r="L1150" s="5">
        <f t="shared" si="3"/>
        <v>0.01107139744</v>
      </c>
      <c r="M1150" s="5">
        <f t="shared" si="4"/>
        <v>0.0063636948</v>
      </c>
      <c r="Q1150" s="5"/>
    </row>
    <row r="1151">
      <c r="A1151" s="4">
        <f>IFERROR(__xludf.DUMMYFUNCTION("""COMPUTED_VALUE"""),45953.66666666667)</f>
        <v>45953.66667</v>
      </c>
      <c r="B1151" s="1">
        <f>IFERROR(__xludf.DUMMYFUNCTION("""COMPUTED_VALUE"""),259.58)</f>
        <v>259.58</v>
      </c>
      <c r="C1151" s="4">
        <f>IFERROR(__xludf.DUMMYFUNCTION("""COMPUTED_VALUE"""),45953.66666666667)</f>
        <v>45953.66667</v>
      </c>
      <c r="D1151" s="1">
        <f>IFERROR(__xludf.DUMMYFUNCTION("""COMPUTED_VALUE"""),520.56)</f>
        <v>520.56</v>
      </c>
      <c r="E1151" s="4">
        <f>IFERROR(__xludf.DUMMYFUNCTION("""COMPUTED_VALUE"""),45953.66666666667)</f>
        <v>45953.66667</v>
      </c>
      <c r="F1151" s="1">
        <f>IFERROR(__xludf.DUMMYFUNCTION("""COMPUTED_VALUE"""),115.98)</f>
        <v>115.98</v>
      </c>
      <c r="G1151" s="4">
        <f>IFERROR(__xludf.DUMMYFUNCTION("""COMPUTED_VALUE"""),45953.66666666667)</f>
        <v>45953.66667</v>
      </c>
      <c r="H1151" s="1">
        <f>IFERROR(__xludf.DUMMYFUNCTION("""COMPUTED_VALUE"""),156.56)</f>
        <v>156.56</v>
      </c>
      <c r="I1151" s="5">
        <f t="shared" si="1"/>
        <v>0.01248170121</v>
      </c>
      <c r="K1151" s="5">
        <f t="shared" si="2"/>
        <v>0.005859074842</v>
      </c>
      <c r="L1151" s="5">
        <f t="shared" si="3"/>
        <v>-0.00508708398</v>
      </c>
      <c r="M1151" s="5">
        <f t="shared" si="4"/>
        <v>-0.006387327542</v>
      </c>
      <c r="Q1151" s="5"/>
    </row>
    <row r="1152">
      <c r="A1152" s="4">
        <f>IFERROR(__xludf.DUMMYFUNCTION("""COMPUTED_VALUE"""),45954.66666666667)</f>
        <v>45954.66667</v>
      </c>
      <c r="B1152" s="1">
        <f>IFERROR(__xludf.DUMMYFUNCTION("""COMPUTED_VALUE"""),262.82)</f>
        <v>262.82</v>
      </c>
      <c r="C1152" s="4">
        <f>IFERROR(__xludf.DUMMYFUNCTION("""COMPUTED_VALUE"""),45954.66666666667)</f>
        <v>45954.66667</v>
      </c>
      <c r="D1152" s="1">
        <f>IFERROR(__xludf.DUMMYFUNCTION("""COMPUTED_VALUE"""),523.61)</f>
        <v>523.61</v>
      </c>
      <c r="E1152" s="4">
        <f>IFERROR(__xludf.DUMMYFUNCTION("""COMPUTED_VALUE"""),45954.66666666667)</f>
        <v>45954.66667</v>
      </c>
      <c r="F1152" s="1">
        <f>IFERROR(__xludf.DUMMYFUNCTION("""COMPUTED_VALUE"""),115.39)</f>
        <v>115.39</v>
      </c>
      <c r="G1152" s="4">
        <f>IFERROR(__xludf.DUMMYFUNCTION("""COMPUTED_VALUE"""),45954.66666666667)</f>
        <v>45954.66667</v>
      </c>
      <c r="H1152" s="1">
        <f>IFERROR(__xludf.DUMMYFUNCTION("""COMPUTED_VALUE"""),155.56)</f>
        <v>155.56</v>
      </c>
      <c r="I1152" s="5">
        <f t="shared" si="1"/>
        <v>0.02279126398</v>
      </c>
      <c r="K1152" s="5">
        <f t="shared" si="2"/>
        <v>0.01510666336</v>
      </c>
      <c r="L1152" s="5">
        <f t="shared" si="3"/>
        <v>0.004766444233</v>
      </c>
      <c r="M1152" s="5">
        <f t="shared" si="4"/>
        <v>-0.001799948573</v>
      </c>
      <c r="Q1152" s="5"/>
    </row>
    <row r="1153">
      <c r="A1153" s="4">
        <f>IFERROR(__xludf.DUMMYFUNCTION("""COMPUTED_VALUE"""),45957.66666666667)</f>
        <v>45957.66667</v>
      </c>
      <c r="B1153" s="1">
        <f>IFERROR(__xludf.DUMMYFUNCTION("""COMPUTED_VALUE"""),268.81)</f>
        <v>268.81</v>
      </c>
      <c r="C1153" s="4">
        <f>IFERROR(__xludf.DUMMYFUNCTION("""COMPUTED_VALUE"""),45957.66666666667)</f>
        <v>45957.66667</v>
      </c>
      <c r="D1153" s="1">
        <f>IFERROR(__xludf.DUMMYFUNCTION("""COMPUTED_VALUE"""),531.52)</f>
        <v>531.52</v>
      </c>
      <c r="E1153" s="4">
        <f>IFERROR(__xludf.DUMMYFUNCTION("""COMPUTED_VALUE"""),45957.66666666667)</f>
        <v>45957.66667</v>
      </c>
      <c r="F1153" s="1">
        <f>IFERROR(__xludf.DUMMYFUNCTION("""COMPUTED_VALUE"""),115.94)</f>
        <v>115.94</v>
      </c>
      <c r="G1153" s="4">
        <f>IFERROR(__xludf.DUMMYFUNCTION("""COMPUTED_VALUE"""),45957.66666666667)</f>
        <v>45957.66667</v>
      </c>
      <c r="H1153" s="1">
        <f>IFERROR(__xludf.DUMMYFUNCTION("""COMPUTED_VALUE"""),155.28)</f>
        <v>155.28</v>
      </c>
      <c r="I1153" s="5">
        <f t="shared" si="1"/>
        <v>0.0007068189427</v>
      </c>
      <c r="K1153" s="5">
        <f t="shared" si="2"/>
        <v>0.0198487357</v>
      </c>
      <c r="L1153" s="5">
        <f t="shared" si="3"/>
        <v>-0.007848887356</v>
      </c>
      <c r="M1153" s="5">
        <f t="shared" si="4"/>
        <v>-0.007405976301</v>
      </c>
      <c r="Q1153" s="5"/>
    </row>
    <row r="1154">
      <c r="A1154" s="4">
        <f>IFERROR(__xludf.DUMMYFUNCTION("""COMPUTED_VALUE"""),45958.66666666667)</f>
        <v>45958.66667</v>
      </c>
      <c r="B1154" s="1">
        <f>IFERROR(__xludf.DUMMYFUNCTION("""COMPUTED_VALUE"""),269.0)</f>
        <v>269</v>
      </c>
      <c r="C1154" s="4">
        <f>IFERROR(__xludf.DUMMYFUNCTION("""COMPUTED_VALUE"""),45958.66666666667)</f>
        <v>45958.66667</v>
      </c>
      <c r="D1154" s="1">
        <f>IFERROR(__xludf.DUMMYFUNCTION("""COMPUTED_VALUE"""),542.07)</f>
        <v>542.07</v>
      </c>
      <c r="E1154" s="4">
        <f>IFERROR(__xludf.DUMMYFUNCTION("""COMPUTED_VALUE"""),45958.66666666667)</f>
        <v>45958.66667</v>
      </c>
      <c r="F1154" s="1">
        <f>IFERROR(__xludf.DUMMYFUNCTION("""COMPUTED_VALUE"""),115.03)</f>
        <v>115.03</v>
      </c>
      <c r="G1154" s="4">
        <f>IFERROR(__xludf.DUMMYFUNCTION("""COMPUTED_VALUE"""),45958.66666666667)</f>
        <v>45958.66667</v>
      </c>
      <c r="H1154" s="1">
        <f>IFERROR(__xludf.DUMMYFUNCTION("""COMPUTED_VALUE"""),154.13)</f>
        <v>154.13</v>
      </c>
      <c r="I1154" s="5">
        <f t="shared" si="1"/>
        <v>0.002602230483</v>
      </c>
      <c r="K1154" s="5">
        <f t="shared" si="2"/>
        <v>-0.0009592857011</v>
      </c>
      <c r="L1154" s="5">
        <f t="shared" si="3"/>
        <v>0.01234460576</v>
      </c>
      <c r="M1154" s="5">
        <f t="shared" si="4"/>
        <v>0.006293388698</v>
      </c>
      <c r="Q1154" s="5"/>
    </row>
    <row r="1155">
      <c r="A1155" s="4">
        <f>IFERROR(__xludf.DUMMYFUNCTION("""COMPUTED_VALUE"""),45959.66666666667)</f>
        <v>45959.66667</v>
      </c>
      <c r="B1155" s="1">
        <f>IFERROR(__xludf.DUMMYFUNCTION("""COMPUTED_VALUE"""),269.7)</f>
        <v>269.7</v>
      </c>
      <c r="C1155" s="4">
        <f>IFERROR(__xludf.DUMMYFUNCTION("""COMPUTED_VALUE"""),45959.66666666667)</f>
        <v>45959.66667</v>
      </c>
      <c r="D1155" s="1">
        <f>IFERROR(__xludf.DUMMYFUNCTION("""COMPUTED_VALUE"""),541.55)</f>
        <v>541.55</v>
      </c>
      <c r="E1155" s="4">
        <f>IFERROR(__xludf.DUMMYFUNCTION("""COMPUTED_VALUE"""),45959.66666666667)</f>
        <v>45959.66667</v>
      </c>
      <c r="F1155" s="1">
        <f>IFERROR(__xludf.DUMMYFUNCTION("""COMPUTED_VALUE"""),116.45)</f>
        <v>116.45</v>
      </c>
      <c r="G1155" s="4">
        <f>IFERROR(__xludf.DUMMYFUNCTION("""COMPUTED_VALUE"""),45959.66666666667)</f>
        <v>45959.66667</v>
      </c>
      <c r="H1155" s="1">
        <f>IFERROR(__xludf.DUMMYFUNCTION("""COMPUTED_VALUE"""),155.1)</f>
        <v>155.1</v>
      </c>
      <c r="I1155" s="5">
        <f t="shared" si="1"/>
        <v>0.006303299963</v>
      </c>
      <c r="K1155" s="5">
        <f t="shared" si="2"/>
        <v>-0.02915704921</v>
      </c>
      <c r="L1155" s="5">
        <f t="shared" si="3"/>
        <v>-0.01511378274</v>
      </c>
      <c r="M1155" s="5">
        <f t="shared" si="4"/>
        <v>-0.01018697614</v>
      </c>
      <c r="Q1155" s="5"/>
    </row>
    <row r="1156">
      <c r="A1156" s="4">
        <f>IFERROR(__xludf.DUMMYFUNCTION("""COMPUTED_VALUE"""),45960.66666666667)</f>
        <v>45960.66667</v>
      </c>
      <c r="B1156" s="1">
        <f>IFERROR(__xludf.DUMMYFUNCTION("""COMPUTED_VALUE"""),271.4)</f>
        <v>271.4</v>
      </c>
      <c r="C1156" s="4">
        <f>IFERROR(__xludf.DUMMYFUNCTION("""COMPUTED_VALUE"""),45960.66666666667)</f>
        <v>45960.66667</v>
      </c>
      <c r="D1156" s="1">
        <f>IFERROR(__xludf.DUMMYFUNCTION("""COMPUTED_VALUE"""),525.76)</f>
        <v>525.76</v>
      </c>
      <c r="E1156" s="4">
        <f>IFERROR(__xludf.DUMMYFUNCTION("""COMPUTED_VALUE"""),45960.66666666667)</f>
        <v>45960.66667</v>
      </c>
      <c r="F1156" s="1">
        <f>IFERROR(__xludf.DUMMYFUNCTION("""COMPUTED_VALUE"""),114.69)</f>
        <v>114.69</v>
      </c>
      <c r="G1156" s="4">
        <f>IFERROR(__xludf.DUMMYFUNCTION("""COMPUTED_VALUE"""),45960.66666666667)</f>
        <v>45960.66667</v>
      </c>
      <c r="H1156" s="1">
        <f>IFERROR(__xludf.DUMMYFUNCTION("""COMPUTED_VALUE"""),153.52)</f>
        <v>153.52</v>
      </c>
      <c r="I1156" s="5">
        <f t="shared" si="1"/>
        <v>-0.00379513633</v>
      </c>
      <c r="K1156" s="5">
        <f t="shared" si="2"/>
        <v>-0.01512096774</v>
      </c>
      <c r="L1156" s="5">
        <f t="shared" si="3"/>
        <v>-0.002877321475</v>
      </c>
      <c r="M1156" s="5">
        <f t="shared" si="4"/>
        <v>0.02735799896</v>
      </c>
      <c r="Q1156" s="5"/>
    </row>
    <row r="1157">
      <c r="A1157" s="4">
        <f>IFERROR(__xludf.DUMMYFUNCTION("""COMPUTED_VALUE"""),45961.66666666667)</f>
        <v>45961.66667</v>
      </c>
      <c r="B1157" s="1">
        <f>IFERROR(__xludf.DUMMYFUNCTION("""COMPUTED_VALUE"""),270.37)</f>
        <v>270.37</v>
      </c>
      <c r="C1157" s="4">
        <f>IFERROR(__xludf.DUMMYFUNCTION("""COMPUTED_VALUE"""),45961.66666666667)</f>
        <v>45961.66667</v>
      </c>
      <c r="D1157" s="1">
        <f>IFERROR(__xludf.DUMMYFUNCTION("""COMPUTED_VALUE"""),517.81)</f>
        <v>517.81</v>
      </c>
      <c r="E1157" s="4">
        <f>IFERROR(__xludf.DUMMYFUNCTION("""COMPUTED_VALUE"""),45961.66666666667)</f>
        <v>45961.66667</v>
      </c>
      <c r="F1157" s="1">
        <f>IFERROR(__xludf.DUMMYFUNCTION("""COMPUTED_VALUE"""),114.36)</f>
        <v>114.36</v>
      </c>
      <c r="G1157" s="4">
        <f>IFERROR(__xludf.DUMMYFUNCTION("""COMPUTED_VALUE"""),45961.66666666667)</f>
        <v>45961.66667</v>
      </c>
      <c r="H1157" s="1">
        <f>IFERROR(__xludf.DUMMYFUNCTION("""COMPUTED_VALUE"""),157.72)</f>
        <v>157.72</v>
      </c>
      <c r="I1157" s="5">
        <f t="shared" si="1"/>
        <v>-0.004882198469</v>
      </c>
      <c r="K1157" s="5">
        <f t="shared" si="2"/>
        <v>-0.001506344026</v>
      </c>
      <c r="L1157" s="5">
        <f t="shared" si="3"/>
        <v>-0.005246589717</v>
      </c>
      <c r="M1157" s="5">
        <f t="shared" si="4"/>
        <v>-0.02333248795</v>
      </c>
      <c r="Q1157" s="5"/>
    </row>
    <row r="1158">
      <c r="A1158" s="4">
        <f>IFERROR(__xludf.DUMMYFUNCTION("""COMPUTED_VALUE"""),45964.66666666667)</f>
        <v>45964.66667</v>
      </c>
      <c r="B1158" s="1">
        <f>IFERROR(__xludf.DUMMYFUNCTION("""COMPUTED_VALUE"""),269.05)</f>
        <v>269.05</v>
      </c>
      <c r="C1158" s="4">
        <f>IFERROR(__xludf.DUMMYFUNCTION("""COMPUTED_VALUE"""),45964.66666666667)</f>
        <v>45964.66667</v>
      </c>
      <c r="D1158" s="1">
        <f>IFERROR(__xludf.DUMMYFUNCTION("""COMPUTED_VALUE"""),517.03)</f>
        <v>517.03</v>
      </c>
      <c r="E1158" s="4">
        <f>IFERROR(__xludf.DUMMYFUNCTION("""COMPUTED_VALUE"""),45964.66666666667)</f>
        <v>45964.66667</v>
      </c>
      <c r="F1158" s="1">
        <f>IFERROR(__xludf.DUMMYFUNCTION("""COMPUTED_VALUE"""),113.76)</f>
        <v>113.76</v>
      </c>
      <c r="G1158" s="4">
        <f>IFERROR(__xludf.DUMMYFUNCTION("""COMPUTED_VALUE"""),45964.66666666667)</f>
        <v>45964.66667</v>
      </c>
      <c r="H1158" s="1">
        <f>IFERROR(__xludf.DUMMYFUNCTION("""COMPUTED_VALUE"""),154.04)</f>
        <v>154.04</v>
      </c>
      <c r="I1158" s="5">
        <f t="shared" si="1"/>
        <v>0.003679613455</v>
      </c>
      <c r="K1158" s="5">
        <f t="shared" si="2"/>
        <v>-0.005222134112</v>
      </c>
      <c r="L1158" s="5">
        <f t="shared" si="3"/>
        <v>0.003340365682</v>
      </c>
      <c r="M1158" s="5">
        <f t="shared" si="4"/>
        <v>-0.004219683199</v>
      </c>
      <c r="Q1158" s="5"/>
    </row>
    <row r="1159">
      <c r="A1159" s="4">
        <f>IFERROR(__xludf.DUMMYFUNCTION("""COMPUTED_VALUE"""),45965.66666666667)</f>
        <v>45965.66667</v>
      </c>
      <c r="B1159" s="1">
        <f>IFERROR(__xludf.DUMMYFUNCTION("""COMPUTED_VALUE"""),270.04)</f>
        <v>270.04</v>
      </c>
      <c r="C1159" s="4">
        <f>IFERROR(__xludf.DUMMYFUNCTION("""COMPUTED_VALUE"""),45965.66666666667)</f>
        <v>45965.66667</v>
      </c>
      <c r="D1159" s="1">
        <f>IFERROR(__xludf.DUMMYFUNCTION("""COMPUTED_VALUE"""),514.33)</f>
        <v>514.33</v>
      </c>
      <c r="E1159" s="4">
        <f>IFERROR(__xludf.DUMMYFUNCTION("""COMPUTED_VALUE"""),45965.66666666667)</f>
        <v>45965.66667</v>
      </c>
      <c r="F1159" s="1">
        <f>IFERROR(__xludf.DUMMYFUNCTION("""COMPUTED_VALUE"""),114.14)</f>
        <v>114.14</v>
      </c>
      <c r="G1159" s="4">
        <f>IFERROR(__xludf.DUMMYFUNCTION("""COMPUTED_VALUE"""),45965.66666666667)</f>
        <v>45965.66667</v>
      </c>
      <c r="H1159" s="1">
        <f>IFERROR(__xludf.DUMMYFUNCTION("""COMPUTED_VALUE"""),153.39)</f>
        <v>153.39</v>
      </c>
      <c r="I1159" s="5">
        <f t="shared" si="1"/>
        <v>0.0003703155088</v>
      </c>
      <c r="K1159" s="5">
        <f t="shared" si="2"/>
        <v>-0.01394046624</v>
      </c>
      <c r="L1159" s="5">
        <f t="shared" si="3"/>
        <v>-0.004030138426</v>
      </c>
      <c r="M1159" s="5">
        <f t="shared" si="4"/>
        <v>-0.004759110763</v>
      </c>
      <c r="Q1159" s="5"/>
    </row>
    <row r="1160">
      <c r="A1160" s="4">
        <f>IFERROR(__xludf.DUMMYFUNCTION("""COMPUTED_VALUE"""),45966.66666666667)</f>
        <v>45966.66667</v>
      </c>
      <c r="B1160" s="1">
        <f>IFERROR(__xludf.DUMMYFUNCTION("""COMPUTED_VALUE"""),270.14)</f>
        <v>270.14</v>
      </c>
      <c r="C1160" s="4">
        <f>IFERROR(__xludf.DUMMYFUNCTION("""COMPUTED_VALUE"""),45966.66666666667)</f>
        <v>45966.66667</v>
      </c>
      <c r="D1160" s="1">
        <f>IFERROR(__xludf.DUMMYFUNCTION("""COMPUTED_VALUE"""),507.16)</f>
        <v>507.16</v>
      </c>
      <c r="E1160" s="4">
        <f>IFERROR(__xludf.DUMMYFUNCTION("""COMPUTED_VALUE"""),45966.66666666667)</f>
        <v>45966.66667</v>
      </c>
      <c r="F1160" s="1">
        <f>IFERROR(__xludf.DUMMYFUNCTION("""COMPUTED_VALUE"""),113.68)</f>
        <v>113.68</v>
      </c>
      <c r="G1160" s="4">
        <f>IFERROR(__xludf.DUMMYFUNCTION("""COMPUTED_VALUE"""),45966.66666666667)</f>
        <v>45966.66667</v>
      </c>
      <c r="H1160" s="1">
        <f>IFERROR(__xludf.DUMMYFUNCTION("""COMPUTED_VALUE"""),152.66)</f>
        <v>152.66</v>
      </c>
      <c r="I1160" s="5">
        <f t="shared" si="1"/>
        <v>-0.001369660176</v>
      </c>
      <c r="K1160" s="5">
        <f t="shared" si="2"/>
        <v>-0.01983594921</v>
      </c>
      <c r="L1160" s="5">
        <f t="shared" si="3"/>
        <v>0.00721323012</v>
      </c>
      <c r="M1160" s="5">
        <f t="shared" si="4"/>
        <v>0.001834141229</v>
      </c>
      <c r="Q1160" s="5"/>
    </row>
    <row r="1161">
      <c r="A1161" s="4">
        <f>IFERROR(__xludf.DUMMYFUNCTION("""COMPUTED_VALUE"""),45967.66666666667)</f>
        <v>45967.66667</v>
      </c>
      <c r="B1161" s="1">
        <f>IFERROR(__xludf.DUMMYFUNCTION("""COMPUTED_VALUE"""),269.77)</f>
        <v>269.77</v>
      </c>
      <c r="C1161" s="4">
        <f>IFERROR(__xludf.DUMMYFUNCTION("""COMPUTED_VALUE"""),45967.66666666667)</f>
        <v>45967.66667</v>
      </c>
      <c r="D1161" s="1">
        <f>IFERROR(__xludf.DUMMYFUNCTION("""COMPUTED_VALUE"""),497.1)</f>
        <v>497.1</v>
      </c>
      <c r="E1161" s="4">
        <f>IFERROR(__xludf.DUMMYFUNCTION("""COMPUTED_VALUE"""),45967.66666666667)</f>
        <v>45967.66667</v>
      </c>
      <c r="F1161" s="1">
        <f>IFERROR(__xludf.DUMMYFUNCTION("""COMPUTED_VALUE"""),114.5)</f>
        <v>114.5</v>
      </c>
      <c r="G1161" s="4">
        <f>IFERROR(__xludf.DUMMYFUNCTION("""COMPUTED_VALUE"""),45967.66666666667)</f>
        <v>45967.66667</v>
      </c>
      <c r="H1161" s="1">
        <f>IFERROR(__xludf.DUMMYFUNCTION("""COMPUTED_VALUE"""),152.94)</f>
        <v>152.94</v>
      </c>
      <c r="I1161" s="5">
        <f t="shared" si="1"/>
        <v>-0.004818919821</v>
      </c>
      <c r="K1161" s="5">
        <f t="shared" si="2"/>
        <v>-0.0005632669483</v>
      </c>
      <c r="L1161" s="5">
        <f t="shared" si="3"/>
        <v>0.02375545852</v>
      </c>
      <c r="M1161" s="5">
        <f t="shared" si="4"/>
        <v>0.01360010462</v>
      </c>
      <c r="Q1161" s="5"/>
    </row>
    <row r="1162">
      <c r="A1162" s="4">
        <f>IFERROR(__xludf.DUMMYFUNCTION("""COMPUTED_VALUE"""),45968.66666666667)</f>
        <v>45968.66667</v>
      </c>
      <c r="B1162" s="1">
        <f>IFERROR(__xludf.DUMMYFUNCTION("""COMPUTED_VALUE"""),268.47)</f>
        <v>268.47</v>
      </c>
      <c r="C1162" s="4">
        <f>IFERROR(__xludf.DUMMYFUNCTION("""COMPUTED_VALUE"""),45968.66666666667)</f>
        <v>45968.66667</v>
      </c>
      <c r="D1162" s="1">
        <f>IFERROR(__xludf.DUMMYFUNCTION("""COMPUTED_VALUE"""),496.82)</f>
        <v>496.82</v>
      </c>
      <c r="E1162" s="4">
        <f>IFERROR(__xludf.DUMMYFUNCTION("""COMPUTED_VALUE"""),45968.66666666667)</f>
        <v>45968.66667</v>
      </c>
      <c r="F1162" s="1">
        <f>IFERROR(__xludf.DUMMYFUNCTION("""COMPUTED_VALUE"""),117.22)</f>
        <v>117.22</v>
      </c>
      <c r="G1162" s="4">
        <f>IFERROR(__xludf.DUMMYFUNCTION("""COMPUTED_VALUE"""),45968.66666666667)</f>
        <v>45968.66667</v>
      </c>
      <c r="H1162" s="1">
        <f>IFERROR(__xludf.DUMMYFUNCTION("""COMPUTED_VALUE"""),155.02)</f>
        <v>155.02</v>
      </c>
      <c r="I1162" s="5">
        <f t="shared" si="1"/>
        <v>0.003575818527</v>
      </c>
      <c r="K1162" s="5">
        <f t="shared" si="2"/>
        <v>0.01847751701</v>
      </c>
      <c r="L1162" s="5">
        <f t="shared" si="3"/>
        <v>0.008530967412</v>
      </c>
      <c r="M1162" s="5">
        <f t="shared" si="4"/>
        <v>0.004063991743</v>
      </c>
      <c r="Q1162" s="5"/>
    </row>
    <row r="1163">
      <c r="A1163" s="4">
        <f>IFERROR(__xludf.DUMMYFUNCTION("""COMPUTED_VALUE"""),45971.66666666667)</f>
        <v>45971.66667</v>
      </c>
      <c r="B1163" s="1">
        <f>IFERROR(__xludf.DUMMYFUNCTION("""COMPUTED_VALUE"""),269.43)</f>
        <v>269.43</v>
      </c>
      <c r="C1163" s="4">
        <f>IFERROR(__xludf.DUMMYFUNCTION("""COMPUTED_VALUE"""),45971.66666666667)</f>
        <v>45971.66667</v>
      </c>
      <c r="D1163" s="1">
        <f>IFERROR(__xludf.DUMMYFUNCTION("""COMPUTED_VALUE"""),506.0)</f>
        <v>506</v>
      </c>
      <c r="E1163" s="4">
        <f>IFERROR(__xludf.DUMMYFUNCTION("""COMPUTED_VALUE"""),45971.66666666667)</f>
        <v>45971.66667</v>
      </c>
      <c r="F1163" s="1">
        <f>IFERROR(__xludf.DUMMYFUNCTION("""COMPUTED_VALUE"""),118.22)</f>
        <v>118.22</v>
      </c>
      <c r="G1163" s="4">
        <f>IFERROR(__xludf.DUMMYFUNCTION("""COMPUTED_VALUE"""),45971.66666666667)</f>
        <v>45971.66667</v>
      </c>
      <c r="H1163" s="1">
        <f>IFERROR(__xludf.DUMMYFUNCTION("""COMPUTED_VALUE"""),155.65)</f>
        <v>155.65</v>
      </c>
      <c r="I1163" s="5">
        <f t="shared" si="1"/>
        <v>0.021601158</v>
      </c>
      <c r="K1163" s="5">
        <f t="shared" si="2"/>
        <v>0.005296442688</v>
      </c>
      <c r="L1163" s="5">
        <f t="shared" si="3"/>
        <v>0.01319573676</v>
      </c>
      <c r="M1163" s="5">
        <f t="shared" si="4"/>
        <v>0.003790555734</v>
      </c>
      <c r="Q1163" s="5"/>
    </row>
    <row r="1164">
      <c r="A1164" s="4">
        <f>IFERROR(__xludf.DUMMYFUNCTION("""COMPUTED_VALUE"""),45972.66666666667)</f>
        <v>45972.66667</v>
      </c>
      <c r="B1164" s="1">
        <f>IFERROR(__xludf.DUMMYFUNCTION("""COMPUTED_VALUE"""),275.25)</f>
        <v>275.25</v>
      </c>
      <c r="C1164" s="4">
        <f>IFERROR(__xludf.DUMMYFUNCTION("""COMPUTED_VALUE"""),45972.66666666667)</f>
        <v>45972.66667</v>
      </c>
      <c r="D1164" s="1">
        <f>IFERROR(__xludf.DUMMYFUNCTION("""COMPUTED_VALUE"""),508.68)</f>
        <v>508.68</v>
      </c>
      <c r="E1164" s="4">
        <f>IFERROR(__xludf.DUMMYFUNCTION("""COMPUTED_VALUE"""),45972.66666666667)</f>
        <v>45972.66667</v>
      </c>
      <c r="F1164" s="1">
        <f>IFERROR(__xludf.DUMMYFUNCTION("""COMPUTED_VALUE"""),119.78)</f>
        <v>119.78</v>
      </c>
      <c r="G1164" s="4">
        <f>IFERROR(__xludf.DUMMYFUNCTION("""COMPUTED_VALUE"""),45972.66666666667)</f>
        <v>45972.66667</v>
      </c>
      <c r="H1164" s="1">
        <f>IFERROR(__xludf.DUMMYFUNCTION("""COMPUTED_VALUE"""),156.24)</f>
        <v>156.24</v>
      </c>
      <c r="I1164" s="5">
        <f t="shared" si="1"/>
        <v>-0.00646684832</v>
      </c>
      <c r="K1164" s="5">
        <f t="shared" si="2"/>
        <v>0.004836046237</v>
      </c>
      <c r="L1164" s="5">
        <f t="shared" si="3"/>
        <v>-0.01385874103</v>
      </c>
      <c r="M1164" s="5">
        <f t="shared" si="4"/>
        <v>-0.01868919611</v>
      </c>
      <c r="Q1164" s="5"/>
    </row>
    <row r="1165">
      <c r="A1165" s="4">
        <f>IFERROR(__xludf.DUMMYFUNCTION("""COMPUTED_VALUE"""),45973.66666666667)</f>
        <v>45973.66667</v>
      </c>
      <c r="B1165" s="1">
        <f>IFERROR(__xludf.DUMMYFUNCTION("""COMPUTED_VALUE"""),273.47)</f>
        <v>273.47</v>
      </c>
      <c r="C1165" s="4">
        <f>IFERROR(__xludf.DUMMYFUNCTION("""COMPUTED_VALUE"""),45973.66666666667)</f>
        <v>45973.66667</v>
      </c>
      <c r="D1165" s="1">
        <f>IFERROR(__xludf.DUMMYFUNCTION("""COMPUTED_VALUE"""),511.14)</f>
        <v>511.14</v>
      </c>
      <c r="E1165" s="4">
        <f>IFERROR(__xludf.DUMMYFUNCTION("""COMPUTED_VALUE"""),45973.66666666667)</f>
        <v>45973.66667</v>
      </c>
      <c r="F1165" s="1">
        <f>IFERROR(__xludf.DUMMYFUNCTION("""COMPUTED_VALUE"""),118.12)</f>
        <v>118.12</v>
      </c>
      <c r="G1165" s="4">
        <f>IFERROR(__xludf.DUMMYFUNCTION("""COMPUTED_VALUE"""),45973.66666666667)</f>
        <v>45973.66667</v>
      </c>
      <c r="H1165" s="1">
        <f>IFERROR(__xludf.DUMMYFUNCTION("""COMPUTED_VALUE"""),153.32)</f>
        <v>153.32</v>
      </c>
      <c r="I1165" s="5">
        <f t="shared" si="1"/>
        <v>-0.00190148828</v>
      </c>
      <c r="K1165" s="5">
        <f t="shared" si="2"/>
        <v>-0.0153578276</v>
      </c>
      <c r="L1165" s="5">
        <f t="shared" si="3"/>
        <v>0.005672197765</v>
      </c>
      <c r="M1165" s="5">
        <f t="shared" si="4"/>
        <v>0.01474041221</v>
      </c>
      <c r="Q1165" s="5"/>
    </row>
    <row r="1166">
      <c r="A1166" s="4">
        <f>IFERROR(__xludf.DUMMYFUNCTION("""COMPUTED_VALUE"""),45974.66666666667)</f>
        <v>45974.66667</v>
      </c>
      <c r="B1166" s="1">
        <f>IFERROR(__xludf.DUMMYFUNCTION("""COMPUTED_VALUE"""),272.95)</f>
        <v>272.95</v>
      </c>
      <c r="C1166" s="4">
        <f>IFERROR(__xludf.DUMMYFUNCTION("""COMPUTED_VALUE"""),45974.66666666667)</f>
        <v>45974.66667</v>
      </c>
      <c r="D1166" s="1">
        <f>IFERROR(__xludf.DUMMYFUNCTION("""COMPUTED_VALUE"""),503.29)</f>
        <v>503.29</v>
      </c>
      <c r="E1166" s="4">
        <f>IFERROR(__xludf.DUMMYFUNCTION("""COMPUTED_VALUE"""),45974.66666666667)</f>
        <v>45974.66667</v>
      </c>
      <c r="F1166" s="1">
        <f>IFERROR(__xludf.DUMMYFUNCTION("""COMPUTED_VALUE"""),118.79)</f>
        <v>118.79</v>
      </c>
      <c r="G1166" s="4">
        <f>IFERROR(__xludf.DUMMYFUNCTION("""COMPUTED_VALUE"""),45974.66666666667)</f>
        <v>45974.66667</v>
      </c>
      <c r="H1166" s="1">
        <f>IFERROR(__xludf.DUMMYFUNCTION("""COMPUTED_VALUE"""),155.58)</f>
        <v>155.58</v>
      </c>
      <c r="I1166" s="5">
        <f t="shared" si="1"/>
        <v>-0.001978384319</v>
      </c>
      <c r="K1166" s="5">
        <f t="shared" si="2"/>
        <v>0.01368992032</v>
      </c>
      <c r="L1166" s="5">
        <f t="shared" si="3"/>
        <v>0.004209108511</v>
      </c>
      <c r="M1166" s="5">
        <f t="shared" si="4"/>
        <v>0.01311222522</v>
      </c>
      <c r="Q1166" s="5"/>
    </row>
    <row r="1167">
      <c r="A1167" s="4">
        <f>IFERROR(__xludf.DUMMYFUNCTION("""COMPUTED_VALUE"""),45975.66666666667)</f>
        <v>45975.66667</v>
      </c>
      <c r="B1167" s="1">
        <f>IFERROR(__xludf.DUMMYFUNCTION("""COMPUTED_VALUE"""),272.41)</f>
        <v>272.41</v>
      </c>
      <c r="C1167" s="4">
        <f>IFERROR(__xludf.DUMMYFUNCTION("""COMPUTED_VALUE"""),45975.66666666667)</f>
        <v>45975.66667</v>
      </c>
      <c r="D1167" s="1">
        <f>IFERROR(__xludf.DUMMYFUNCTION("""COMPUTED_VALUE"""),510.18)</f>
        <v>510.18</v>
      </c>
      <c r="E1167" s="4">
        <f>IFERROR(__xludf.DUMMYFUNCTION("""COMPUTED_VALUE"""),45975.66666666667)</f>
        <v>45975.66667</v>
      </c>
      <c r="F1167" s="1">
        <f>IFERROR(__xludf.DUMMYFUNCTION("""COMPUTED_VALUE"""),119.29)</f>
        <v>119.29</v>
      </c>
      <c r="G1167" s="4">
        <f>IFERROR(__xludf.DUMMYFUNCTION("""COMPUTED_VALUE"""),45975.66666666667)</f>
        <v>45975.66667</v>
      </c>
      <c r="H1167" s="1">
        <f>IFERROR(__xludf.DUMMYFUNCTION("""COMPUTED_VALUE"""),157.62)</f>
        <v>157.62</v>
      </c>
      <c r="I1167" s="5">
        <f t="shared" si="1"/>
        <v>-0.01817113909</v>
      </c>
      <c r="K1167" s="5">
        <f t="shared" si="2"/>
        <v>-0.005272648869</v>
      </c>
      <c r="L1167" s="5">
        <f t="shared" si="3"/>
        <v>-0.01349652108</v>
      </c>
      <c r="M1167" s="5">
        <f t="shared" si="4"/>
        <v>-0.01776424312</v>
      </c>
      <c r="Q1167" s="5"/>
    </row>
    <row r="1168">
      <c r="A1168" s="4">
        <f>IFERROR(__xludf.DUMMYFUNCTION("""COMPUTED_VALUE"""),45978.66666666667)</f>
        <v>45978.66667</v>
      </c>
      <c r="B1168" s="1">
        <f>IFERROR(__xludf.DUMMYFUNCTION("""COMPUTED_VALUE"""),267.46)</f>
        <v>267.46</v>
      </c>
      <c r="C1168" s="4">
        <f>IFERROR(__xludf.DUMMYFUNCTION("""COMPUTED_VALUE"""),45978.66666666667)</f>
        <v>45978.66667</v>
      </c>
      <c r="D1168" s="1">
        <f>IFERROR(__xludf.DUMMYFUNCTION("""COMPUTED_VALUE"""),507.49)</f>
        <v>507.49</v>
      </c>
      <c r="E1168" s="4">
        <f>IFERROR(__xludf.DUMMYFUNCTION("""COMPUTED_VALUE"""),45978.66666666667)</f>
        <v>45978.66667</v>
      </c>
      <c r="F1168" s="1">
        <f>IFERROR(__xludf.DUMMYFUNCTION("""COMPUTED_VALUE"""),117.68)</f>
        <v>117.68</v>
      </c>
      <c r="G1168" s="4">
        <f>IFERROR(__xludf.DUMMYFUNCTION("""COMPUTED_VALUE"""),45978.66666666667)</f>
        <v>45978.66667</v>
      </c>
      <c r="H1168" s="1">
        <f>IFERROR(__xludf.DUMMYFUNCTION("""COMPUTED_VALUE"""),154.82)</f>
        <v>154.82</v>
      </c>
      <c r="I1168" s="5">
        <f t="shared" si="1"/>
        <v>-0.00007477753683</v>
      </c>
      <c r="K1168" s="5">
        <f t="shared" si="2"/>
        <v>-0.02699560582</v>
      </c>
      <c r="L1168" s="5">
        <f t="shared" si="3"/>
        <v>0.0114717879</v>
      </c>
      <c r="M1168" s="5">
        <f t="shared" si="4"/>
        <v>-0.007750936572</v>
      </c>
      <c r="Q1168" s="5"/>
    </row>
    <row r="1169">
      <c r="A1169" s="4">
        <f>IFERROR(__xludf.DUMMYFUNCTION("""COMPUTED_VALUE"""),45979.66666666667)</f>
        <v>45979.66667</v>
      </c>
      <c r="B1169" s="1">
        <f>IFERROR(__xludf.DUMMYFUNCTION("""COMPUTED_VALUE"""),267.44)</f>
        <v>267.44</v>
      </c>
      <c r="C1169" s="4">
        <f>IFERROR(__xludf.DUMMYFUNCTION("""COMPUTED_VALUE"""),45979.66666666667)</f>
        <v>45979.66667</v>
      </c>
      <c r="D1169" s="1">
        <f>IFERROR(__xludf.DUMMYFUNCTION("""COMPUTED_VALUE"""),493.79)</f>
        <v>493.79</v>
      </c>
      <c r="E1169" s="4">
        <f>IFERROR(__xludf.DUMMYFUNCTION("""COMPUTED_VALUE"""),45979.66666666667)</f>
        <v>45979.66667</v>
      </c>
      <c r="F1169" s="1">
        <f>IFERROR(__xludf.DUMMYFUNCTION("""COMPUTED_VALUE"""),119.03)</f>
        <v>119.03</v>
      </c>
      <c r="G1169" s="4">
        <f>IFERROR(__xludf.DUMMYFUNCTION("""COMPUTED_VALUE"""),45979.66666666667)</f>
        <v>45979.66667</v>
      </c>
      <c r="H1169" s="1">
        <f>IFERROR(__xludf.DUMMYFUNCTION("""COMPUTED_VALUE"""),153.62)</f>
        <v>153.62</v>
      </c>
      <c r="I1169" s="5">
        <f t="shared" si="1"/>
        <v>0.00418785522</v>
      </c>
      <c r="K1169" s="5">
        <f t="shared" si="2"/>
        <v>-0.01350776646</v>
      </c>
      <c r="L1169" s="5">
        <f t="shared" si="3"/>
        <v>-0.01411408889</v>
      </c>
      <c r="M1169" s="5">
        <f t="shared" si="4"/>
        <v>-0.01249837261</v>
      </c>
      <c r="Q1169" s="5"/>
    </row>
    <row r="1170">
      <c r="A1170" s="4">
        <f>IFERROR(__xludf.DUMMYFUNCTION("""COMPUTED_VALUE"""),45980.66666666667)</f>
        <v>45980.66667</v>
      </c>
      <c r="B1170" s="1">
        <f>IFERROR(__xludf.DUMMYFUNCTION("""COMPUTED_VALUE"""),268.56)</f>
        <v>268.56</v>
      </c>
      <c r="C1170" s="4">
        <f>IFERROR(__xludf.DUMMYFUNCTION("""COMPUTED_VALUE"""),45980.66666666667)</f>
        <v>45980.66667</v>
      </c>
      <c r="D1170" s="1">
        <f>IFERROR(__xludf.DUMMYFUNCTION("""COMPUTED_VALUE"""),487.12)</f>
        <v>487.12</v>
      </c>
      <c r="E1170" s="4">
        <f>IFERROR(__xludf.DUMMYFUNCTION("""COMPUTED_VALUE"""),45980.66666666667)</f>
        <v>45980.66667</v>
      </c>
      <c r="F1170" s="1">
        <f>IFERROR(__xludf.DUMMYFUNCTION("""COMPUTED_VALUE"""),117.35)</f>
        <v>117.35</v>
      </c>
      <c r="G1170" s="4">
        <f>IFERROR(__xludf.DUMMYFUNCTION("""COMPUTED_VALUE"""),45980.66666666667)</f>
        <v>45980.66667</v>
      </c>
      <c r="H1170" s="1">
        <f>IFERROR(__xludf.DUMMYFUNCTION("""COMPUTED_VALUE"""),151.7)</f>
        <v>151.7</v>
      </c>
      <c r="I1170" s="5">
        <f t="shared" si="1"/>
        <v>-0.008601429848</v>
      </c>
      <c r="K1170" s="5">
        <f t="shared" si="2"/>
        <v>-0.01783954672</v>
      </c>
      <c r="L1170" s="5">
        <f t="shared" si="3"/>
        <v>-0.002812100554</v>
      </c>
      <c r="M1170" s="5">
        <f t="shared" si="4"/>
        <v>-0.009162821358</v>
      </c>
      <c r="Q1170" s="5"/>
    </row>
    <row r="1171">
      <c r="A1171" s="4">
        <f>IFERROR(__xludf.DUMMYFUNCTION("""COMPUTED_VALUE"""),45981.66666666667)</f>
        <v>45981.66667</v>
      </c>
      <c r="B1171" s="1">
        <f>IFERROR(__xludf.DUMMYFUNCTION("""COMPUTED_VALUE"""),266.25)</f>
        <v>266.25</v>
      </c>
      <c r="C1171" s="4">
        <f>IFERROR(__xludf.DUMMYFUNCTION("""COMPUTED_VALUE"""),45981.66666666667)</f>
        <v>45981.66667</v>
      </c>
      <c r="D1171" s="1">
        <f>IFERROR(__xludf.DUMMYFUNCTION("""COMPUTED_VALUE"""),478.43)</f>
        <v>478.43</v>
      </c>
      <c r="E1171" s="4">
        <f>IFERROR(__xludf.DUMMYFUNCTION("""COMPUTED_VALUE"""),45981.66666666667)</f>
        <v>45981.66667</v>
      </c>
      <c r="F1171" s="1">
        <f>IFERROR(__xludf.DUMMYFUNCTION("""COMPUTED_VALUE"""),117.02)</f>
        <v>117.02</v>
      </c>
      <c r="G1171" s="4">
        <f>IFERROR(__xludf.DUMMYFUNCTION("""COMPUTED_VALUE"""),45981.66666666667)</f>
        <v>45981.66667</v>
      </c>
      <c r="H1171" s="1">
        <f>IFERROR(__xludf.DUMMYFUNCTION("""COMPUTED_VALUE"""),150.31)</f>
        <v>150.31</v>
      </c>
      <c r="I1171" s="5">
        <f t="shared" si="1"/>
        <v>0.01968075117</v>
      </c>
      <c r="K1171" s="5">
        <f t="shared" si="2"/>
        <v>-0.01318897226</v>
      </c>
      <c r="L1171" s="5">
        <f t="shared" si="3"/>
        <v>0.0005127328662</v>
      </c>
      <c r="M1171" s="5">
        <f t="shared" si="4"/>
        <v>-0.00219546271</v>
      </c>
      <c r="Q1171" s="5"/>
    </row>
    <row r="1172">
      <c r="A1172" s="4">
        <f>IFERROR(__xludf.DUMMYFUNCTION("""COMPUTED_VALUE"""),45982.66666666667)</f>
        <v>45982.66667</v>
      </c>
      <c r="B1172" s="1">
        <f>IFERROR(__xludf.DUMMYFUNCTION("""COMPUTED_VALUE"""),271.49)</f>
        <v>271.49</v>
      </c>
      <c r="C1172" s="4">
        <f>IFERROR(__xludf.DUMMYFUNCTION("""COMPUTED_VALUE"""),45982.66666666667)</f>
        <v>45982.66667</v>
      </c>
      <c r="D1172" s="1">
        <f>IFERROR(__xludf.DUMMYFUNCTION("""COMPUTED_VALUE"""),472.12)</f>
        <v>472.12</v>
      </c>
      <c r="E1172" s="4">
        <f>IFERROR(__xludf.DUMMYFUNCTION("""COMPUTED_VALUE"""),45982.66666666667)</f>
        <v>45982.66667</v>
      </c>
      <c r="F1172" s="1">
        <f>IFERROR(__xludf.DUMMYFUNCTION("""COMPUTED_VALUE"""),117.08)</f>
        <v>117.08</v>
      </c>
      <c r="G1172" s="4">
        <f>IFERROR(__xludf.DUMMYFUNCTION("""COMPUTED_VALUE"""),45982.66666666667)</f>
        <v>45982.66667</v>
      </c>
      <c r="H1172" s="1">
        <f>IFERROR(__xludf.DUMMYFUNCTION("""COMPUTED_VALUE"""),149.98)</f>
        <v>149.98</v>
      </c>
      <c r="I1172" s="5">
        <f t="shared" si="1"/>
        <v>0.01631735976</v>
      </c>
      <c r="K1172" s="5">
        <f t="shared" si="2"/>
        <v>0.003982038465</v>
      </c>
      <c r="L1172" s="5">
        <f t="shared" si="3"/>
        <v>-0.009480696959</v>
      </c>
      <c r="M1172" s="5">
        <f t="shared" si="4"/>
        <v>-0.001533537805</v>
      </c>
      <c r="Q1172" s="5"/>
    </row>
    <row r="1173">
      <c r="A1173" s="4">
        <f>IFERROR(__xludf.DUMMYFUNCTION("""COMPUTED_VALUE"""),45985.66666666667)</f>
        <v>45985.66667</v>
      </c>
      <c r="B1173" s="1">
        <f>IFERROR(__xludf.DUMMYFUNCTION("""COMPUTED_VALUE"""),275.92)</f>
        <v>275.92</v>
      </c>
      <c r="C1173" s="4">
        <f>IFERROR(__xludf.DUMMYFUNCTION("""COMPUTED_VALUE"""),45985.66666666667)</f>
        <v>45985.66667</v>
      </c>
      <c r="D1173" s="1">
        <f>IFERROR(__xludf.DUMMYFUNCTION("""COMPUTED_VALUE"""),474.0)</f>
        <v>474</v>
      </c>
      <c r="E1173" s="4">
        <f>IFERROR(__xludf.DUMMYFUNCTION("""COMPUTED_VALUE"""),45985.66666666667)</f>
        <v>45985.66667</v>
      </c>
      <c r="F1173" s="1">
        <f>IFERROR(__xludf.DUMMYFUNCTION("""COMPUTED_VALUE"""),115.97)</f>
        <v>115.97</v>
      </c>
      <c r="G1173" s="4">
        <f>IFERROR(__xludf.DUMMYFUNCTION("""COMPUTED_VALUE"""),45985.66666666667)</f>
        <v>45985.66667</v>
      </c>
      <c r="H1173" s="1">
        <f>IFERROR(__xludf.DUMMYFUNCTION("""COMPUTED_VALUE"""),149.75)</f>
        <v>149.75</v>
      </c>
      <c r="I1173" s="5">
        <f t="shared" si="1"/>
        <v>0.003805450855</v>
      </c>
      <c r="K1173" s="5">
        <f t="shared" si="2"/>
        <v>0.006308016878</v>
      </c>
      <c r="L1173" s="5">
        <f t="shared" si="3"/>
        <v>-0.01258946279</v>
      </c>
      <c r="M1173" s="5">
        <f t="shared" si="4"/>
        <v>-0.008146911519</v>
      </c>
      <c r="Q1173" s="5"/>
    </row>
    <row r="1174">
      <c r="A1174" s="4">
        <f>IFERROR(__xludf.DUMMYFUNCTION("""COMPUTED_VALUE"""),45986.66666666667)</f>
        <v>45986.66667</v>
      </c>
      <c r="B1174" s="1">
        <f>IFERROR(__xludf.DUMMYFUNCTION("""COMPUTED_VALUE"""),276.97)</f>
        <v>276.97</v>
      </c>
      <c r="C1174" s="4">
        <f>IFERROR(__xludf.DUMMYFUNCTION("""COMPUTED_VALUE"""),45986.66666666667)</f>
        <v>45986.66667</v>
      </c>
      <c r="D1174" s="1">
        <f>IFERROR(__xludf.DUMMYFUNCTION("""COMPUTED_VALUE"""),476.99)</f>
        <v>476.99</v>
      </c>
      <c r="E1174" s="4">
        <f>IFERROR(__xludf.DUMMYFUNCTION("""COMPUTED_VALUE"""),45986.66666666667)</f>
        <v>45986.66667</v>
      </c>
      <c r="F1174" s="1">
        <f>IFERROR(__xludf.DUMMYFUNCTION("""COMPUTED_VALUE"""),114.51)</f>
        <v>114.51</v>
      </c>
      <c r="G1174" s="4">
        <f>IFERROR(__xludf.DUMMYFUNCTION("""COMPUTED_VALUE"""),45986.66666666667)</f>
        <v>45986.66667</v>
      </c>
      <c r="H1174" s="1">
        <f>IFERROR(__xludf.DUMMYFUNCTION("""COMPUTED_VALUE"""),148.53)</f>
        <v>148.53</v>
      </c>
      <c r="I1174" s="5">
        <f t="shared" si="1"/>
        <v>0.002094089613</v>
      </c>
      <c r="K1174" s="5">
        <f t="shared" si="2"/>
        <v>0.01784104489</v>
      </c>
      <c r="L1174" s="5">
        <f t="shared" si="3"/>
        <v>0.002270544057</v>
      </c>
      <c r="M1174" s="5">
        <f t="shared" si="4"/>
        <v>0.006597993671</v>
      </c>
      <c r="Q1174" s="5"/>
    </row>
    <row r="1175">
      <c r="A1175" s="4">
        <f>IFERROR(__xludf.DUMMYFUNCTION("""COMPUTED_VALUE"""),45987.66666666667)</f>
        <v>45987.66667</v>
      </c>
      <c r="B1175" s="1">
        <f>IFERROR(__xludf.DUMMYFUNCTION("""COMPUTED_VALUE"""),277.55)</f>
        <v>277.55</v>
      </c>
      <c r="C1175" s="4">
        <f>IFERROR(__xludf.DUMMYFUNCTION("""COMPUTED_VALUE"""),45987.66666666667)</f>
        <v>45987.66667</v>
      </c>
      <c r="D1175" s="1">
        <f>IFERROR(__xludf.DUMMYFUNCTION("""COMPUTED_VALUE"""),485.5)</f>
        <v>485.5</v>
      </c>
      <c r="E1175" s="4">
        <f>IFERROR(__xludf.DUMMYFUNCTION("""COMPUTED_VALUE"""),45987.66666666667)</f>
        <v>45987.66667</v>
      </c>
      <c r="F1175" s="1">
        <f>IFERROR(__xludf.DUMMYFUNCTION("""COMPUTED_VALUE"""),114.77)</f>
        <v>114.77</v>
      </c>
      <c r="G1175" s="4">
        <f>IFERROR(__xludf.DUMMYFUNCTION("""COMPUTED_VALUE"""),45987.66666666667)</f>
        <v>45987.66667</v>
      </c>
      <c r="H1175" s="1">
        <f>IFERROR(__xludf.DUMMYFUNCTION("""COMPUTED_VALUE"""),149.51)</f>
        <v>149.51</v>
      </c>
      <c r="I1175" s="5">
        <f t="shared" si="1"/>
        <v>0.004683840749</v>
      </c>
      <c r="K1175" s="5">
        <f t="shared" si="2"/>
        <v>0.01340885685</v>
      </c>
      <c r="L1175" s="5">
        <f t="shared" si="3"/>
        <v>0.01002004008</v>
      </c>
      <c r="M1175" s="5">
        <f t="shared" si="4"/>
        <v>0.01083539563</v>
      </c>
      <c r="Q1175" s="5"/>
    </row>
    <row r="1176">
      <c r="A1176" s="4">
        <f>IFERROR(__xludf.DUMMYFUNCTION("""COMPUTED_VALUE"""),45989.54513888889)</f>
        <v>45989.54514</v>
      </c>
      <c r="B1176" s="1">
        <f>IFERROR(__xludf.DUMMYFUNCTION("""COMPUTED_VALUE"""),278.85)</f>
        <v>278.85</v>
      </c>
      <c r="C1176" s="4">
        <f>IFERROR(__xludf.DUMMYFUNCTION("""COMPUTED_VALUE"""),45989.54513888889)</f>
        <v>45989.54514</v>
      </c>
      <c r="D1176" s="1">
        <f>IFERROR(__xludf.DUMMYFUNCTION("""COMPUTED_VALUE"""),492.01)</f>
        <v>492.01</v>
      </c>
      <c r="E1176" s="4">
        <f>IFERROR(__xludf.DUMMYFUNCTION("""COMPUTED_VALUE"""),45989.54166666667)</f>
        <v>45989.54167</v>
      </c>
      <c r="F1176" s="1">
        <f>IFERROR(__xludf.DUMMYFUNCTION("""COMPUTED_VALUE"""),115.92)</f>
        <v>115.92</v>
      </c>
      <c r="G1176" s="4">
        <f>IFERROR(__xludf.DUMMYFUNCTION("""COMPUTED_VALUE"""),45989.54166666667)</f>
        <v>45989.54167</v>
      </c>
      <c r="H1176" s="1">
        <f>IFERROR(__xludf.DUMMYFUNCTION("""COMPUTED_VALUE"""),151.13)</f>
        <v>151.13</v>
      </c>
      <c r="I1176" s="5">
        <f t="shared" si="1"/>
        <v>0.01524116909</v>
      </c>
      <c r="K1176" s="5">
        <f t="shared" si="2"/>
        <v>-0.01071116441</v>
      </c>
      <c r="L1176" s="5">
        <f t="shared" si="3"/>
        <v>0.006124913734</v>
      </c>
      <c r="M1176" s="5">
        <f t="shared" si="4"/>
        <v>0.009329716138</v>
      </c>
      <c r="Q1176" s="5"/>
    </row>
    <row r="1177">
      <c r="A1177" s="4">
        <f>IFERROR(__xludf.DUMMYFUNCTION("""COMPUTED_VALUE"""),45992.66666666667)</f>
        <v>45992.66667</v>
      </c>
      <c r="B1177" s="1">
        <f>IFERROR(__xludf.DUMMYFUNCTION("""COMPUTED_VALUE"""),283.1)</f>
        <v>283.1</v>
      </c>
      <c r="C1177" s="4">
        <f>IFERROR(__xludf.DUMMYFUNCTION("""COMPUTED_VALUE"""),45992.66666666667)</f>
        <v>45992.66667</v>
      </c>
      <c r="D1177" s="1">
        <f>IFERROR(__xludf.DUMMYFUNCTION("""COMPUTED_VALUE"""),486.74)</f>
        <v>486.74</v>
      </c>
      <c r="E1177" s="4">
        <f>IFERROR(__xludf.DUMMYFUNCTION("""COMPUTED_VALUE"""),45992.66666666667)</f>
        <v>45992.66667</v>
      </c>
      <c r="F1177" s="1">
        <f>IFERROR(__xludf.DUMMYFUNCTION("""COMPUTED_VALUE"""),116.63)</f>
        <v>116.63</v>
      </c>
      <c r="G1177" s="4">
        <f>IFERROR(__xludf.DUMMYFUNCTION("""COMPUTED_VALUE"""),45992.66666666667)</f>
        <v>45992.66667</v>
      </c>
      <c r="H1177" s="1">
        <f>IFERROR(__xludf.DUMMYFUNCTION("""COMPUTED_VALUE"""),152.54)</f>
        <v>152.54</v>
      </c>
      <c r="I1177" s="5">
        <f t="shared" si="1"/>
        <v>0.01091487107</v>
      </c>
      <c r="K1177" s="5">
        <f t="shared" si="2"/>
        <v>0.006697620906</v>
      </c>
      <c r="L1177" s="5">
        <f t="shared" si="3"/>
        <v>-0.01071765412</v>
      </c>
      <c r="M1177" s="5">
        <f t="shared" si="4"/>
        <v>-0.01501245575</v>
      </c>
      <c r="Q1177" s="5"/>
    </row>
    <row r="1178">
      <c r="A1178" s="4">
        <f>IFERROR(__xludf.DUMMYFUNCTION("""COMPUTED_VALUE"""),45993.66666666667)</f>
        <v>45993.66667</v>
      </c>
      <c r="B1178" s="1">
        <f>IFERROR(__xludf.DUMMYFUNCTION("""COMPUTED_VALUE"""),286.19)</f>
        <v>286.19</v>
      </c>
      <c r="C1178" s="4">
        <f>IFERROR(__xludf.DUMMYFUNCTION("""COMPUTED_VALUE"""),45993.66666666667)</f>
        <v>45993.66667</v>
      </c>
      <c r="D1178" s="1">
        <f>IFERROR(__xludf.DUMMYFUNCTION("""COMPUTED_VALUE"""),490.0)</f>
        <v>490</v>
      </c>
      <c r="E1178" s="4">
        <f>IFERROR(__xludf.DUMMYFUNCTION("""COMPUTED_VALUE"""),45993.66666666667)</f>
        <v>45993.66667</v>
      </c>
      <c r="F1178" s="1">
        <f>IFERROR(__xludf.DUMMYFUNCTION("""COMPUTED_VALUE"""),115.38)</f>
        <v>115.38</v>
      </c>
      <c r="G1178" s="4">
        <f>IFERROR(__xludf.DUMMYFUNCTION("""COMPUTED_VALUE"""),45993.66666666667)</f>
        <v>45993.66667</v>
      </c>
      <c r="H1178" s="1">
        <f>IFERROR(__xludf.DUMMYFUNCTION("""COMPUTED_VALUE"""),150.25)</f>
        <v>150.25</v>
      </c>
      <c r="I1178" s="5">
        <f t="shared" si="1"/>
        <v>-0.007128131661</v>
      </c>
      <c r="K1178" s="5">
        <f t="shared" si="2"/>
        <v>-0.02504081633</v>
      </c>
      <c r="L1178" s="5">
        <f t="shared" si="3"/>
        <v>0.0209741723</v>
      </c>
      <c r="M1178" s="5">
        <f t="shared" si="4"/>
        <v>0.008918469218</v>
      </c>
      <c r="Q1178" s="5"/>
    </row>
    <row r="1179">
      <c r="A1179" s="4">
        <f>IFERROR(__xludf.DUMMYFUNCTION("""COMPUTED_VALUE"""),45994.66666666667)</f>
        <v>45994.66667</v>
      </c>
      <c r="B1179" s="1">
        <f>IFERROR(__xludf.DUMMYFUNCTION("""COMPUTED_VALUE"""),284.15)</f>
        <v>284.15</v>
      </c>
      <c r="C1179" s="4">
        <f>IFERROR(__xludf.DUMMYFUNCTION("""COMPUTED_VALUE"""),45994.66666666667)</f>
        <v>45994.66667</v>
      </c>
      <c r="D1179" s="1">
        <f>IFERROR(__xludf.DUMMYFUNCTION("""COMPUTED_VALUE"""),477.73)</f>
        <v>477.73</v>
      </c>
      <c r="E1179" s="4">
        <f>IFERROR(__xludf.DUMMYFUNCTION("""COMPUTED_VALUE"""),45994.66666666667)</f>
        <v>45994.66667</v>
      </c>
      <c r="F1179" s="1">
        <f>IFERROR(__xludf.DUMMYFUNCTION("""COMPUTED_VALUE"""),117.8)</f>
        <v>117.8</v>
      </c>
      <c r="G1179" s="4">
        <f>IFERROR(__xludf.DUMMYFUNCTION("""COMPUTED_VALUE"""),45994.66666666667)</f>
        <v>45994.66667</v>
      </c>
      <c r="H1179" s="1">
        <f>IFERROR(__xludf.DUMMYFUNCTION("""COMPUTED_VALUE"""),151.59)</f>
        <v>151.59</v>
      </c>
      <c r="I1179" s="5">
        <f t="shared" si="1"/>
        <v>-0.01214147457</v>
      </c>
      <c r="K1179" s="5">
        <f t="shared" si="2"/>
        <v>0.006509953321</v>
      </c>
      <c r="L1179" s="5">
        <f t="shared" si="3"/>
        <v>-0.005602716469</v>
      </c>
      <c r="M1179" s="5">
        <f t="shared" si="4"/>
        <v>0.004419816611</v>
      </c>
      <c r="Q1179" s="5"/>
    </row>
    <row r="1180">
      <c r="A1180" s="4">
        <f>IFERROR(__xludf.DUMMYFUNCTION("""COMPUTED_VALUE"""),45995.66666666667)</f>
        <v>45995.66667</v>
      </c>
      <c r="B1180" s="1">
        <f>IFERROR(__xludf.DUMMYFUNCTION("""COMPUTED_VALUE"""),280.7)</f>
        <v>280.7</v>
      </c>
      <c r="C1180" s="4">
        <f>IFERROR(__xludf.DUMMYFUNCTION("""COMPUTED_VALUE"""),45995.66666666667)</f>
        <v>45995.66667</v>
      </c>
      <c r="D1180" s="1">
        <f>IFERROR(__xludf.DUMMYFUNCTION("""COMPUTED_VALUE"""),480.84)</f>
        <v>480.84</v>
      </c>
      <c r="E1180" s="4">
        <f>IFERROR(__xludf.DUMMYFUNCTION("""COMPUTED_VALUE"""),45995.66666666667)</f>
        <v>45995.66667</v>
      </c>
      <c r="F1180" s="1">
        <f>IFERROR(__xludf.DUMMYFUNCTION("""COMPUTED_VALUE"""),117.14)</f>
        <v>117.14</v>
      </c>
      <c r="G1180" s="4">
        <f>IFERROR(__xludf.DUMMYFUNCTION("""COMPUTED_VALUE"""),45995.66666666667)</f>
        <v>45995.66667</v>
      </c>
      <c r="H1180" s="1">
        <f>IFERROR(__xludf.DUMMYFUNCTION("""COMPUTED_VALUE"""),152.26)</f>
        <v>152.26</v>
      </c>
      <c r="I1180" s="5">
        <f t="shared" si="1"/>
        <v>-0.00684004275</v>
      </c>
      <c r="K1180" s="5">
        <f t="shared" si="2"/>
        <v>0.004824889776</v>
      </c>
      <c r="L1180" s="5">
        <f t="shared" si="3"/>
        <v>-0.005122076148</v>
      </c>
      <c r="M1180" s="5">
        <f t="shared" si="4"/>
        <v>-0.01484303166</v>
      </c>
      <c r="Q1180" s="5"/>
    </row>
    <row r="1181">
      <c r="A1181" s="4">
        <f>IFERROR(__xludf.DUMMYFUNCTION("""COMPUTED_VALUE"""),45996.66666666667)</f>
        <v>45996.66667</v>
      </c>
      <c r="B1181" s="1">
        <f>IFERROR(__xludf.DUMMYFUNCTION("""COMPUTED_VALUE"""),278.78)</f>
        <v>278.78</v>
      </c>
      <c r="C1181" s="4">
        <f>IFERROR(__xludf.DUMMYFUNCTION("""COMPUTED_VALUE"""),45996.66666666667)</f>
        <v>45996.66667</v>
      </c>
      <c r="D1181" s="1">
        <f>IFERROR(__xludf.DUMMYFUNCTION("""COMPUTED_VALUE"""),483.16)</f>
        <v>483.16</v>
      </c>
      <c r="E1181" s="4">
        <f>IFERROR(__xludf.DUMMYFUNCTION("""COMPUTED_VALUE"""),45996.66666666667)</f>
        <v>45996.66667</v>
      </c>
      <c r="F1181" s="1">
        <f>IFERROR(__xludf.DUMMYFUNCTION("""COMPUTED_VALUE"""),116.54)</f>
        <v>116.54</v>
      </c>
      <c r="G1181" s="4">
        <f>IFERROR(__xludf.DUMMYFUNCTION("""COMPUTED_VALUE"""),45996.66666666667)</f>
        <v>45996.66667</v>
      </c>
      <c r="H1181" s="1">
        <f>IFERROR(__xludf.DUMMYFUNCTION("""COMPUTED_VALUE"""),150.0)</f>
        <v>150</v>
      </c>
      <c r="I1181" s="5">
        <f t="shared" si="1"/>
        <v>-0.003192481527</v>
      </c>
      <c r="K1181" s="5">
        <f t="shared" si="2"/>
        <v>0.01626790297</v>
      </c>
      <c r="L1181" s="5">
        <f t="shared" si="3"/>
        <v>-0.004805217093</v>
      </c>
      <c r="M1181" s="5">
        <f t="shared" si="4"/>
        <v>-0.0086</v>
      </c>
      <c r="Q1181" s="5"/>
    </row>
    <row r="1182">
      <c r="A1182" s="4">
        <f>IFERROR(__xludf.DUMMYFUNCTION("""COMPUTED_VALUE"""),45999.66666666667)</f>
        <v>45999.66667</v>
      </c>
      <c r="B1182" s="1">
        <f>IFERROR(__xludf.DUMMYFUNCTION("""COMPUTED_VALUE"""),277.89)</f>
        <v>277.89</v>
      </c>
      <c r="C1182" s="4">
        <f>IFERROR(__xludf.DUMMYFUNCTION("""COMPUTED_VALUE"""),45999.66666666667)</f>
        <v>45999.66667</v>
      </c>
      <c r="D1182" s="1">
        <f>IFERROR(__xludf.DUMMYFUNCTION("""COMPUTED_VALUE"""),491.02)</f>
        <v>491.02</v>
      </c>
      <c r="E1182" s="4">
        <f>IFERROR(__xludf.DUMMYFUNCTION("""COMPUTED_VALUE"""),45999.66666666667)</f>
        <v>45999.66667</v>
      </c>
      <c r="F1182" s="1">
        <f>IFERROR(__xludf.DUMMYFUNCTION("""COMPUTED_VALUE"""),115.98)</f>
        <v>115.98</v>
      </c>
      <c r="G1182" s="4">
        <f>IFERROR(__xludf.DUMMYFUNCTION("""COMPUTED_VALUE"""),45999.66666666667)</f>
        <v>45999.66667</v>
      </c>
      <c r="H1182" s="1">
        <f>IFERROR(__xludf.DUMMYFUNCTION("""COMPUTED_VALUE"""),148.71)</f>
        <v>148.71</v>
      </c>
      <c r="I1182" s="5">
        <f t="shared" si="1"/>
        <v>-0.002554967793</v>
      </c>
      <c r="K1182" s="5">
        <f t="shared" si="2"/>
        <v>0.002036576922</v>
      </c>
      <c r="L1182" s="5">
        <f t="shared" si="3"/>
        <v>0.01957234006</v>
      </c>
      <c r="M1182" s="5">
        <f t="shared" si="4"/>
        <v>-0.001479389416</v>
      </c>
      <c r="Q1182" s="5"/>
    </row>
    <row r="1183">
      <c r="A1183" s="4">
        <f>IFERROR(__xludf.DUMMYFUNCTION("""COMPUTED_VALUE"""),46000.66666666667)</f>
        <v>46000.66667</v>
      </c>
      <c r="B1183" s="1">
        <f>IFERROR(__xludf.DUMMYFUNCTION("""COMPUTED_VALUE"""),277.18)</f>
        <v>277.18</v>
      </c>
      <c r="C1183" s="4">
        <f>IFERROR(__xludf.DUMMYFUNCTION("""COMPUTED_VALUE"""),46000.66666666667)</f>
        <v>46000.66667</v>
      </c>
      <c r="D1183" s="1">
        <f>IFERROR(__xludf.DUMMYFUNCTION("""COMPUTED_VALUE"""),492.02)</f>
        <v>492.02</v>
      </c>
      <c r="E1183" s="4">
        <f>IFERROR(__xludf.DUMMYFUNCTION("""COMPUTED_VALUE"""),46000.66666666667)</f>
        <v>46000.66667</v>
      </c>
      <c r="F1183" s="1">
        <f>IFERROR(__xludf.DUMMYFUNCTION("""COMPUTED_VALUE"""),118.25)</f>
        <v>118.25</v>
      </c>
      <c r="G1183" s="4">
        <f>IFERROR(__xludf.DUMMYFUNCTION("""COMPUTED_VALUE"""),46000.66666666667)</f>
        <v>46000.66667</v>
      </c>
      <c r="H1183" s="1">
        <f>IFERROR(__xludf.DUMMYFUNCTION("""COMPUTED_VALUE"""),148.49)</f>
        <v>148.49</v>
      </c>
      <c r="I1183" s="5">
        <f t="shared" si="1"/>
        <v>0.005772422253</v>
      </c>
      <c r="K1183" s="5">
        <f t="shared" si="2"/>
        <v>-0.02735661152</v>
      </c>
      <c r="L1183" s="5">
        <f t="shared" si="3"/>
        <v>0.01090909091</v>
      </c>
      <c r="M1183" s="5">
        <f t="shared" si="4"/>
        <v>0.01966462388</v>
      </c>
      <c r="Q1183" s="5"/>
    </row>
    <row r="1184">
      <c r="A1184" s="4">
        <f>IFERROR(__xludf.DUMMYFUNCTION("""COMPUTED_VALUE"""),46001.66666666667)</f>
        <v>46001.66667</v>
      </c>
      <c r="B1184" s="1">
        <f>IFERROR(__xludf.DUMMYFUNCTION("""COMPUTED_VALUE"""),278.78)</f>
        <v>278.78</v>
      </c>
      <c r="C1184" s="4">
        <f>IFERROR(__xludf.DUMMYFUNCTION("""COMPUTED_VALUE"""),46001.66666666667)</f>
        <v>46001.66667</v>
      </c>
      <c r="D1184" s="1">
        <f>IFERROR(__xludf.DUMMYFUNCTION("""COMPUTED_VALUE"""),478.56)</f>
        <v>478.56</v>
      </c>
      <c r="E1184" s="4">
        <f>IFERROR(__xludf.DUMMYFUNCTION("""COMPUTED_VALUE"""),46001.66666666667)</f>
        <v>46001.66667</v>
      </c>
      <c r="F1184" s="1">
        <f>IFERROR(__xludf.DUMMYFUNCTION("""COMPUTED_VALUE"""),119.54)</f>
        <v>119.54</v>
      </c>
      <c r="G1184" s="4">
        <f>IFERROR(__xludf.DUMMYFUNCTION("""COMPUTED_VALUE"""),46001.66666666667)</f>
        <v>46001.66667</v>
      </c>
      <c r="H1184" s="1">
        <f>IFERROR(__xludf.DUMMYFUNCTION("""COMPUTED_VALUE"""),151.41)</f>
        <v>151.41</v>
      </c>
      <c r="I1184" s="5">
        <f t="shared" si="1"/>
        <v>-0.002690293421</v>
      </c>
      <c r="K1184" s="5">
        <f t="shared" si="2"/>
        <v>0.01025994651</v>
      </c>
      <c r="L1184" s="5">
        <f t="shared" si="3"/>
        <v>0</v>
      </c>
      <c r="M1184" s="5">
        <f t="shared" si="4"/>
        <v>-0.004557162671</v>
      </c>
      <c r="Q1184" s="5"/>
    </row>
    <row r="1185">
      <c r="A1185" s="4">
        <f>IFERROR(__xludf.DUMMYFUNCTION("""COMPUTED_VALUE"""),46002.66666666667)</f>
        <v>46002.66667</v>
      </c>
      <c r="B1185" s="1">
        <f>IFERROR(__xludf.DUMMYFUNCTION("""COMPUTED_VALUE"""),278.03)</f>
        <v>278.03</v>
      </c>
      <c r="C1185" s="4">
        <f>IFERROR(__xludf.DUMMYFUNCTION("""COMPUTED_VALUE"""),46002.66666666667)</f>
        <v>46002.66667</v>
      </c>
      <c r="D1185" s="1">
        <f>IFERROR(__xludf.DUMMYFUNCTION("""COMPUTED_VALUE"""),483.47)</f>
        <v>483.47</v>
      </c>
      <c r="E1185" s="4">
        <f>IFERROR(__xludf.DUMMYFUNCTION("""COMPUTED_VALUE"""),46002.66666666667)</f>
        <v>46002.66667</v>
      </c>
      <c r="F1185" s="1">
        <f>IFERROR(__xludf.DUMMYFUNCTION("""COMPUTED_VALUE"""),119.54)</f>
        <v>119.54</v>
      </c>
      <c r="G1185" s="4">
        <f>IFERROR(__xludf.DUMMYFUNCTION("""COMPUTED_VALUE"""),46002.66666666667)</f>
        <v>46002.66667</v>
      </c>
      <c r="H1185" s="1">
        <f>IFERROR(__xludf.DUMMYFUNCTION("""COMPUTED_VALUE"""),150.72)</f>
        <v>150.72</v>
      </c>
      <c r="I1185" s="5">
        <f t="shared" si="1"/>
        <v>0.0008991835413</v>
      </c>
      <c r="K1185" s="5">
        <f t="shared" si="2"/>
        <v>-0.01021780048</v>
      </c>
      <c r="L1185" s="5">
        <f t="shared" si="3"/>
        <v>-0.006023088506</v>
      </c>
      <c r="M1185" s="5">
        <f t="shared" si="4"/>
        <v>-0.004843418259</v>
      </c>
      <c r="Q1185" s="5"/>
    </row>
    <row r="1186">
      <c r="A1186" s="4">
        <f>IFERROR(__xludf.DUMMYFUNCTION("""COMPUTED_VALUE"""),46003.66666666667)</f>
        <v>46003.66667</v>
      </c>
      <c r="B1186" s="1">
        <f>IFERROR(__xludf.DUMMYFUNCTION("""COMPUTED_VALUE"""),278.28)</f>
        <v>278.28</v>
      </c>
      <c r="C1186" s="4">
        <f>IFERROR(__xludf.DUMMYFUNCTION("""COMPUTED_VALUE"""),46003.66666666667)</f>
        <v>46003.66667</v>
      </c>
      <c r="D1186" s="1">
        <f>IFERROR(__xludf.DUMMYFUNCTION("""COMPUTED_VALUE"""),478.53)</f>
        <v>478.53</v>
      </c>
      <c r="E1186" s="4">
        <f>IFERROR(__xludf.DUMMYFUNCTION("""COMPUTED_VALUE"""),46003.66666666667)</f>
        <v>46003.66667</v>
      </c>
      <c r="F1186" s="1">
        <f>IFERROR(__xludf.DUMMYFUNCTION("""COMPUTED_VALUE"""),118.82)</f>
        <v>118.82</v>
      </c>
      <c r="G1186" s="4">
        <f>IFERROR(__xludf.DUMMYFUNCTION("""COMPUTED_VALUE"""),46003.66666666667)</f>
        <v>46003.66667</v>
      </c>
      <c r="H1186" s="1">
        <f>IFERROR(__xludf.DUMMYFUNCTION("""COMPUTED_VALUE"""),149.99)</f>
        <v>149.99</v>
      </c>
      <c r="I1186" s="5">
        <f t="shared" si="1"/>
        <v>-0.01498490729</v>
      </c>
      <c r="K1186" s="5">
        <f t="shared" si="2"/>
        <v>-0.007752909953</v>
      </c>
      <c r="L1186" s="5">
        <f t="shared" si="3"/>
        <v>-0.008921057061</v>
      </c>
      <c r="M1186" s="5">
        <f t="shared" si="4"/>
        <v>-0.001266751117</v>
      </c>
      <c r="Q1186" s="5"/>
    </row>
    <row r="1187">
      <c r="A1187" s="4">
        <f>IFERROR(__xludf.DUMMYFUNCTION("""COMPUTED_VALUE"""),46006.66666666667)</f>
        <v>46006.66667</v>
      </c>
      <c r="B1187" s="1">
        <f>IFERROR(__xludf.DUMMYFUNCTION("""COMPUTED_VALUE"""),274.11)</f>
        <v>274.11</v>
      </c>
      <c r="C1187" s="4">
        <f>IFERROR(__xludf.DUMMYFUNCTION("""COMPUTED_VALUE"""),46006.66666666667)</f>
        <v>46006.66667</v>
      </c>
      <c r="D1187" s="1">
        <f>IFERROR(__xludf.DUMMYFUNCTION("""COMPUTED_VALUE"""),474.82)</f>
        <v>474.82</v>
      </c>
      <c r="E1187" s="4">
        <f>IFERROR(__xludf.DUMMYFUNCTION("""COMPUTED_VALUE"""),46006.66666666667)</f>
        <v>46006.66667</v>
      </c>
      <c r="F1187" s="1">
        <f>IFERROR(__xludf.DUMMYFUNCTION("""COMPUTED_VALUE"""),117.76)</f>
        <v>117.76</v>
      </c>
      <c r="G1187" s="4">
        <f>IFERROR(__xludf.DUMMYFUNCTION("""COMPUTED_VALUE"""),46006.66666666667)</f>
        <v>46006.66667</v>
      </c>
      <c r="H1187" s="1">
        <f>IFERROR(__xludf.DUMMYFUNCTION("""COMPUTED_VALUE"""),149.8)</f>
        <v>149.8</v>
      </c>
      <c r="I1187" s="5">
        <f t="shared" si="1"/>
        <v>0.001824085221</v>
      </c>
      <c r="K1187" s="5">
        <f t="shared" si="2"/>
        <v>0.003306516153</v>
      </c>
      <c r="L1187" s="5">
        <f t="shared" si="3"/>
        <v>-0.0261548913</v>
      </c>
      <c r="M1187" s="5">
        <f t="shared" si="4"/>
        <v>-0.02036048064</v>
      </c>
      <c r="Q1187" s="5"/>
    </row>
    <row r="1188">
      <c r="A1188" s="4">
        <f>IFERROR(__xludf.DUMMYFUNCTION("""COMPUTED_VALUE"""),46007.66666666667)</f>
        <v>46007.66667</v>
      </c>
      <c r="B1188" s="1">
        <f>IFERROR(__xludf.DUMMYFUNCTION("""COMPUTED_VALUE"""),274.61)</f>
        <v>274.61</v>
      </c>
      <c r="C1188" s="4">
        <f>IFERROR(__xludf.DUMMYFUNCTION("""COMPUTED_VALUE"""),46007.66666666667)</f>
        <v>46007.66667</v>
      </c>
      <c r="D1188" s="1">
        <f>IFERROR(__xludf.DUMMYFUNCTION("""COMPUTED_VALUE"""),476.39)</f>
        <v>476.39</v>
      </c>
      <c r="E1188" s="4">
        <f>IFERROR(__xludf.DUMMYFUNCTION("""COMPUTED_VALUE"""),46007.66666666667)</f>
        <v>46007.66667</v>
      </c>
      <c r="F1188" s="1">
        <f>IFERROR(__xludf.DUMMYFUNCTION("""COMPUTED_VALUE"""),114.68)</f>
        <v>114.68</v>
      </c>
      <c r="G1188" s="4">
        <f>IFERROR(__xludf.DUMMYFUNCTION("""COMPUTED_VALUE"""),46007.66666666667)</f>
        <v>46007.66667</v>
      </c>
      <c r="H1188" s="1">
        <f>IFERROR(__xludf.DUMMYFUNCTION("""COMPUTED_VALUE"""),146.75)</f>
        <v>146.75</v>
      </c>
      <c r="I1188" s="5">
        <f t="shared" si="1"/>
        <v>-0.01008703252</v>
      </c>
      <c r="K1188" s="5">
        <f t="shared" si="2"/>
        <v>-0.0005667625265</v>
      </c>
      <c r="L1188" s="5">
        <f t="shared" si="3"/>
        <v>0.02380537147</v>
      </c>
      <c r="M1188" s="5">
        <f t="shared" si="4"/>
        <v>0.01887563884</v>
      </c>
      <c r="Q1188" s="5"/>
    </row>
    <row r="1189">
      <c r="A1189" s="4">
        <f>IFERROR(__xludf.DUMMYFUNCTION("""COMPUTED_VALUE"""),46008.66666666667)</f>
        <v>46008.66667</v>
      </c>
      <c r="B1189" s="1">
        <f>IFERROR(__xludf.DUMMYFUNCTION("""COMPUTED_VALUE"""),271.84)</f>
        <v>271.84</v>
      </c>
      <c r="C1189" s="4">
        <f>IFERROR(__xludf.DUMMYFUNCTION("""COMPUTED_VALUE"""),46008.66666666667)</f>
        <v>46008.66667</v>
      </c>
      <c r="D1189" s="1">
        <f>IFERROR(__xludf.DUMMYFUNCTION("""COMPUTED_VALUE"""),476.12)</f>
        <v>476.12</v>
      </c>
      <c r="E1189" s="4">
        <f>IFERROR(__xludf.DUMMYFUNCTION("""COMPUTED_VALUE"""),46008.66666666667)</f>
        <v>46008.66667</v>
      </c>
      <c r="F1189" s="1">
        <f>IFERROR(__xludf.DUMMYFUNCTION("""COMPUTED_VALUE"""),117.41)</f>
        <v>117.41</v>
      </c>
      <c r="G1189" s="4">
        <f>IFERROR(__xludf.DUMMYFUNCTION("""COMPUTED_VALUE"""),46008.66666666667)</f>
        <v>46008.66667</v>
      </c>
      <c r="H1189" s="1">
        <f>IFERROR(__xludf.DUMMYFUNCTION("""COMPUTED_VALUE"""),149.52)</f>
        <v>149.52</v>
      </c>
      <c r="I1189" s="5">
        <f t="shared" si="1"/>
        <v>0.001287522072</v>
      </c>
      <c r="K1189" s="5">
        <f t="shared" si="2"/>
        <v>0.01650844325</v>
      </c>
      <c r="L1189" s="5">
        <f t="shared" si="3"/>
        <v>-0.007409931011</v>
      </c>
      <c r="M1189" s="5">
        <f t="shared" si="4"/>
        <v>-0.01223916533</v>
      </c>
      <c r="Q1189" s="5"/>
    </row>
    <row r="1190">
      <c r="A1190" s="4">
        <f>IFERROR(__xludf.DUMMYFUNCTION("""COMPUTED_VALUE"""),46009.66666666667)</f>
        <v>46009.66667</v>
      </c>
      <c r="B1190" s="1">
        <f>IFERROR(__xludf.DUMMYFUNCTION("""COMPUTED_VALUE"""),272.19)</f>
        <v>272.19</v>
      </c>
      <c r="C1190" s="4">
        <f>IFERROR(__xludf.DUMMYFUNCTION("""COMPUTED_VALUE"""),46009.66666666667)</f>
        <v>46009.66667</v>
      </c>
      <c r="D1190" s="1">
        <f>IFERROR(__xludf.DUMMYFUNCTION("""COMPUTED_VALUE"""),483.98)</f>
        <v>483.98</v>
      </c>
      <c r="E1190" s="4">
        <f>IFERROR(__xludf.DUMMYFUNCTION("""COMPUTED_VALUE"""),46009.66666666667)</f>
        <v>46009.66667</v>
      </c>
      <c r="F1190" s="1">
        <f>IFERROR(__xludf.DUMMYFUNCTION("""COMPUTED_VALUE"""),116.54)</f>
        <v>116.54</v>
      </c>
      <c r="G1190" s="4">
        <f>IFERROR(__xludf.DUMMYFUNCTION("""COMPUTED_VALUE"""),46009.66666666667)</f>
        <v>46009.66667</v>
      </c>
      <c r="H1190" s="1">
        <f>IFERROR(__xludf.DUMMYFUNCTION("""COMPUTED_VALUE"""),147.69)</f>
        <v>147.69</v>
      </c>
      <c r="I1190" s="5">
        <f t="shared" si="1"/>
        <v>0.005437378302</v>
      </c>
      <c r="K1190" s="5">
        <f t="shared" si="2"/>
        <v>0.0040084301</v>
      </c>
      <c r="L1190" s="5">
        <f t="shared" si="3"/>
        <v>0.001287111721</v>
      </c>
      <c r="M1190" s="5">
        <f t="shared" si="4"/>
        <v>0.0004062563478</v>
      </c>
      <c r="Q1190" s="5"/>
    </row>
    <row r="1191">
      <c r="A1191" s="4">
        <f>IFERROR(__xludf.DUMMYFUNCTION("""COMPUTED_VALUE"""),46010.66666666667)</f>
        <v>46010.66667</v>
      </c>
      <c r="B1191" s="1">
        <f>IFERROR(__xludf.DUMMYFUNCTION("""COMPUTED_VALUE"""),273.67)</f>
        <v>273.67</v>
      </c>
      <c r="C1191" s="4">
        <f>IFERROR(__xludf.DUMMYFUNCTION("""COMPUTED_VALUE"""),46010.66666666667)</f>
        <v>46010.66667</v>
      </c>
      <c r="D1191" s="1">
        <f>IFERROR(__xludf.DUMMYFUNCTION("""COMPUTED_VALUE"""),485.92)</f>
        <v>485.92</v>
      </c>
      <c r="E1191" s="4">
        <f>IFERROR(__xludf.DUMMYFUNCTION("""COMPUTED_VALUE"""),46010.66666666667)</f>
        <v>46010.66667</v>
      </c>
      <c r="F1191" s="1">
        <f>IFERROR(__xludf.DUMMYFUNCTION("""COMPUTED_VALUE"""),116.69)</f>
        <v>116.69</v>
      </c>
      <c r="G1191" s="4">
        <f>IFERROR(__xludf.DUMMYFUNCTION("""COMPUTED_VALUE"""),46010.66666666667)</f>
        <v>46010.66667</v>
      </c>
      <c r="H1191" s="1">
        <f>IFERROR(__xludf.DUMMYFUNCTION("""COMPUTED_VALUE"""),147.75)</f>
        <v>147.75</v>
      </c>
      <c r="I1191" s="5">
        <f t="shared" si="1"/>
        <v>-0.009865896883</v>
      </c>
      <c r="K1191" s="5">
        <f t="shared" si="2"/>
        <v>-0.002057951926</v>
      </c>
      <c r="L1191" s="5">
        <f t="shared" si="3"/>
        <v>0.01251178336</v>
      </c>
      <c r="M1191" s="5">
        <f t="shared" si="4"/>
        <v>0.01387478849</v>
      </c>
      <c r="Q1191" s="5"/>
    </row>
    <row r="1192">
      <c r="A1192" s="4">
        <f>IFERROR(__xludf.DUMMYFUNCTION("""COMPUTED_VALUE"""),46013.66666666667)</f>
        <v>46013.66667</v>
      </c>
      <c r="B1192" s="1">
        <f>IFERROR(__xludf.DUMMYFUNCTION("""COMPUTED_VALUE"""),270.97)</f>
        <v>270.97</v>
      </c>
      <c r="C1192" s="4">
        <f>IFERROR(__xludf.DUMMYFUNCTION("""COMPUTED_VALUE"""),46013.66666666667)</f>
        <v>46013.66667</v>
      </c>
      <c r="D1192" s="1">
        <f>IFERROR(__xludf.DUMMYFUNCTION("""COMPUTED_VALUE"""),484.92)</f>
        <v>484.92</v>
      </c>
      <c r="E1192" s="4">
        <f>IFERROR(__xludf.DUMMYFUNCTION("""COMPUTED_VALUE"""),46013.66666666667)</f>
        <v>46013.66667</v>
      </c>
      <c r="F1192" s="1">
        <f>IFERROR(__xludf.DUMMYFUNCTION("""COMPUTED_VALUE"""),118.15)</f>
        <v>118.15</v>
      </c>
      <c r="G1192" s="4">
        <f>IFERROR(__xludf.DUMMYFUNCTION("""COMPUTED_VALUE"""),46013.66666666667)</f>
        <v>46013.66667</v>
      </c>
      <c r="H1192" s="1">
        <f>IFERROR(__xludf.DUMMYFUNCTION("""COMPUTED_VALUE"""),149.8)</f>
        <v>149.8</v>
      </c>
      <c r="I1192" s="5">
        <f t="shared" si="1"/>
        <v>0.005129719157</v>
      </c>
      <c r="K1192" s="5">
        <f t="shared" si="2"/>
        <v>0.003980037944</v>
      </c>
      <c r="L1192" s="5">
        <f t="shared" si="3"/>
        <v>0.01074904782</v>
      </c>
      <c r="M1192" s="5">
        <f t="shared" si="4"/>
        <v>0.00473965287</v>
      </c>
      <c r="Q1192" s="5"/>
    </row>
    <row r="1193">
      <c r="A1193" s="4">
        <f>IFERROR(__xludf.DUMMYFUNCTION("""COMPUTED_VALUE"""),46014.66666666667)</f>
        <v>46014.66667</v>
      </c>
      <c r="B1193" s="1">
        <f>IFERROR(__xludf.DUMMYFUNCTION("""COMPUTED_VALUE"""),272.36)</f>
        <v>272.36</v>
      </c>
      <c r="C1193" s="4">
        <f>IFERROR(__xludf.DUMMYFUNCTION("""COMPUTED_VALUE"""),46014.66666666667)</f>
        <v>46014.66667</v>
      </c>
      <c r="D1193" s="1">
        <f>IFERROR(__xludf.DUMMYFUNCTION("""COMPUTED_VALUE"""),486.85)</f>
        <v>486.85</v>
      </c>
      <c r="E1193" s="4">
        <f>IFERROR(__xludf.DUMMYFUNCTION("""COMPUTED_VALUE"""),46014.66666666667)</f>
        <v>46014.66667</v>
      </c>
      <c r="F1193" s="1">
        <f>IFERROR(__xludf.DUMMYFUNCTION("""COMPUTED_VALUE"""),119.42)</f>
        <v>119.42</v>
      </c>
      <c r="G1193" s="4">
        <f>IFERROR(__xludf.DUMMYFUNCTION("""COMPUTED_VALUE"""),46014.66666666667)</f>
        <v>46014.66667</v>
      </c>
      <c r="H1193" s="1">
        <f>IFERROR(__xludf.DUMMYFUNCTION("""COMPUTED_VALUE"""),150.51)</f>
        <v>150.51</v>
      </c>
      <c r="I1193" s="5">
        <f t="shared" si="1"/>
        <v>0.005323836099</v>
      </c>
      <c r="K1193" s="5">
        <f t="shared" si="2"/>
        <v>0.002403204272</v>
      </c>
      <c r="L1193" s="5">
        <f t="shared" si="3"/>
        <v>-0.001674761347</v>
      </c>
      <c r="M1193" s="5">
        <f t="shared" si="4"/>
        <v>-0.00006644076806</v>
      </c>
      <c r="Q1193" s="5"/>
    </row>
    <row r="1194">
      <c r="A1194" s="4">
        <f>IFERROR(__xludf.DUMMYFUNCTION("""COMPUTED_VALUE"""),46015.54513888889)</f>
        <v>46015.54514</v>
      </c>
      <c r="B1194" s="1">
        <f>IFERROR(__xludf.DUMMYFUNCTION("""COMPUTED_VALUE"""),273.81)</f>
        <v>273.81</v>
      </c>
      <c r="C1194" s="4">
        <f>IFERROR(__xludf.DUMMYFUNCTION("""COMPUTED_VALUE"""),46015.54513888889)</f>
        <v>46015.54514</v>
      </c>
      <c r="D1194" s="1">
        <f>IFERROR(__xludf.DUMMYFUNCTION("""COMPUTED_VALUE"""),488.02)</f>
        <v>488.02</v>
      </c>
      <c r="E1194" s="4">
        <f>IFERROR(__xludf.DUMMYFUNCTION("""COMPUTED_VALUE"""),46015.54166666667)</f>
        <v>46015.54167</v>
      </c>
      <c r="F1194" s="1">
        <f>IFERROR(__xludf.DUMMYFUNCTION("""COMPUTED_VALUE"""),119.22)</f>
        <v>119.22</v>
      </c>
      <c r="G1194" s="4">
        <f>IFERROR(__xludf.DUMMYFUNCTION("""COMPUTED_VALUE"""),46015.54166666667)</f>
        <v>46015.54167</v>
      </c>
      <c r="H1194" s="1">
        <f>IFERROR(__xludf.DUMMYFUNCTION("""COMPUTED_VALUE"""),150.5)</f>
        <v>150.5</v>
      </c>
      <c r="I1194" s="5">
        <f t="shared" si="1"/>
        <v>-0.0014973887</v>
      </c>
      <c r="K1194" s="5">
        <f t="shared" si="2"/>
        <v>-0.000635219868</v>
      </c>
      <c r="L1194" s="5">
        <f t="shared" si="3"/>
        <v>-0.0009226639826</v>
      </c>
      <c r="M1194" s="5">
        <f t="shared" si="4"/>
        <v>-0.003189368771</v>
      </c>
      <c r="Q1194" s="5"/>
    </row>
    <row r="1195">
      <c r="A1195" s="4">
        <f>IFERROR(__xludf.DUMMYFUNCTION("""COMPUTED_VALUE"""),46017.66666666667)</f>
        <v>46017.66667</v>
      </c>
      <c r="B1195" s="1">
        <f>IFERROR(__xludf.DUMMYFUNCTION("""COMPUTED_VALUE"""),273.4)</f>
        <v>273.4</v>
      </c>
      <c r="C1195" s="4">
        <f>IFERROR(__xludf.DUMMYFUNCTION("""COMPUTED_VALUE"""),46017.66666666667)</f>
        <v>46017.66667</v>
      </c>
      <c r="D1195" s="1">
        <f>IFERROR(__xludf.DUMMYFUNCTION("""COMPUTED_VALUE"""),487.71)</f>
        <v>487.71</v>
      </c>
      <c r="E1195" s="4">
        <f>IFERROR(__xludf.DUMMYFUNCTION("""COMPUTED_VALUE"""),46017.66666666667)</f>
        <v>46017.66667</v>
      </c>
      <c r="F1195" s="1">
        <f>IFERROR(__xludf.DUMMYFUNCTION("""COMPUTED_VALUE"""),119.11)</f>
        <v>119.11</v>
      </c>
      <c r="G1195" s="4">
        <f>IFERROR(__xludf.DUMMYFUNCTION("""COMPUTED_VALUE"""),46017.66666666667)</f>
        <v>46017.66667</v>
      </c>
      <c r="H1195" s="1">
        <f>IFERROR(__xludf.DUMMYFUNCTION("""COMPUTED_VALUE"""),150.02)</f>
        <v>150.02</v>
      </c>
      <c r="I1195" s="5">
        <f t="shared" si="1"/>
        <v>0.001316752012</v>
      </c>
      <c r="K1195" s="5">
        <f t="shared" si="2"/>
        <v>-0.00125074327</v>
      </c>
      <c r="L1195" s="5">
        <f t="shared" si="3"/>
        <v>0.011921753</v>
      </c>
      <c r="M1195" s="5">
        <f t="shared" si="4"/>
        <v>0.006465804559</v>
      </c>
      <c r="Q1195" s="5"/>
    </row>
    <row r="1196">
      <c r="A1196" s="4">
        <f>IFERROR(__xludf.DUMMYFUNCTION("""COMPUTED_VALUE"""),46020.66666666667)</f>
        <v>46020.66667</v>
      </c>
      <c r="B1196" s="1">
        <f>IFERROR(__xludf.DUMMYFUNCTION("""COMPUTED_VALUE"""),273.76)</f>
        <v>273.76</v>
      </c>
      <c r="C1196" s="4">
        <f>IFERROR(__xludf.DUMMYFUNCTION("""COMPUTED_VALUE"""),46020.66666666667)</f>
        <v>46020.66667</v>
      </c>
      <c r="D1196" s="1">
        <f>IFERROR(__xludf.DUMMYFUNCTION("""COMPUTED_VALUE"""),487.1)</f>
        <v>487.1</v>
      </c>
      <c r="E1196" s="4">
        <f>IFERROR(__xludf.DUMMYFUNCTION("""COMPUTED_VALUE"""),46020.66666666667)</f>
        <v>46020.66667</v>
      </c>
      <c r="F1196" s="1">
        <f>IFERROR(__xludf.DUMMYFUNCTION("""COMPUTED_VALUE"""),120.53)</f>
        <v>120.53</v>
      </c>
      <c r="G1196" s="4">
        <f>IFERROR(__xludf.DUMMYFUNCTION("""COMPUTED_VALUE"""),46020.66666666667)</f>
        <v>46020.66667</v>
      </c>
      <c r="H1196" s="1">
        <f>IFERROR(__xludf.DUMMYFUNCTION("""COMPUTED_VALUE"""),150.99)</f>
        <v>150.99</v>
      </c>
      <c r="I1196" s="5">
        <f t="shared" si="1"/>
        <v>-0.002483927528</v>
      </c>
      <c r="K1196" s="5">
        <f t="shared" si="2"/>
        <v>0.0007801272839</v>
      </c>
      <c r="L1196" s="5">
        <f t="shared" si="3"/>
        <v>0.003816477226</v>
      </c>
      <c r="M1196" s="5">
        <f t="shared" si="4"/>
        <v>0.008742300815</v>
      </c>
      <c r="Q1196" s="5"/>
    </row>
    <row r="1197">
      <c r="A1197" s="4">
        <f>IFERROR(__xludf.DUMMYFUNCTION("""COMPUTED_VALUE"""),46021.66666666667)</f>
        <v>46021.66667</v>
      </c>
      <c r="B1197" s="1">
        <f>IFERROR(__xludf.DUMMYFUNCTION("""COMPUTED_VALUE"""),273.08)</f>
        <v>273.08</v>
      </c>
      <c r="C1197" s="4">
        <f>IFERROR(__xludf.DUMMYFUNCTION("""COMPUTED_VALUE"""),46021.66666666667)</f>
        <v>46021.66667</v>
      </c>
      <c r="D1197" s="1">
        <f>IFERROR(__xludf.DUMMYFUNCTION("""COMPUTED_VALUE"""),487.48)</f>
        <v>487.48</v>
      </c>
      <c r="E1197" s="4">
        <f>IFERROR(__xludf.DUMMYFUNCTION("""COMPUTED_VALUE"""),46021.66666666667)</f>
        <v>46021.66667</v>
      </c>
      <c r="F1197" s="1">
        <f>IFERROR(__xludf.DUMMYFUNCTION("""COMPUTED_VALUE"""),120.99)</f>
        <v>120.99</v>
      </c>
      <c r="G1197" s="4">
        <f>IFERROR(__xludf.DUMMYFUNCTION("""COMPUTED_VALUE"""),46021.66666666667)</f>
        <v>46021.66667</v>
      </c>
      <c r="H1197" s="1">
        <f>IFERROR(__xludf.DUMMYFUNCTION("""COMPUTED_VALUE"""),152.31)</f>
        <v>152.31</v>
      </c>
      <c r="I1197" s="5">
        <f t="shared" si="1"/>
        <v>-0.004467555295</v>
      </c>
      <c r="K1197" s="5">
        <f t="shared" si="2"/>
        <v>-0.00791827357</v>
      </c>
      <c r="L1197" s="5">
        <f t="shared" si="3"/>
        <v>-0.005372344822</v>
      </c>
      <c r="M1197" s="5">
        <f t="shared" si="4"/>
        <v>0.0006565557088</v>
      </c>
      <c r="Q1197" s="5"/>
    </row>
    <row r="1198">
      <c r="A1198" s="4">
        <f>IFERROR(__xludf.DUMMYFUNCTION("""COMPUTED_VALUE"""),46022.66666666667)</f>
        <v>46022.66667</v>
      </c>
      <c r="B1198" s="1">
        <f>IFERROR(__xludf.DUMMYFUNCTION("""COMPUTED_VALUE"""),271.86)</f>
        <v>271.86</v>
      </c>
      <c r="C1198" s="4">
        <f>IFERROR(__xludf.DUMMYFUNCTION("""COMPUTED_VALUE"""),46022.66666666667)</f>
        <v>46022.66667</v>
      </c>
      <c r="D1198" s="1">
        <f>IFERROR(__xludf.DUMMYFUNCTION("""COMPUTED_VALUE"""),483.62)</f>
        <v>483.62</v>
      </c>
      <c r="E1198" s="4">
        <f>IFERROR(__xludf.DUMMYFUNCTION("""COMPUTED_VALUE"""),46022.66666666667)</f>
        <v>46022.66667</v>
      </c>
      <c r="F1198" s="1">
        <f>IFERROR(__xludf.DUMMYFUNCTION("""COMPUTED_VALUE"""),120.34)</f>
        <v>120.34</v>
      </c>
      <c r="G1198" s="4">
        <f>IFERROR(__xludf.DUMMYFUNCTION("""COMPUTED_VALUE"""),46022.66666666667)</f>
        <v>46022.66667</v>
      </c>
      <c r="H1198" s="1">
        <f>IFERROR(__xludf.DUMMYFUNCTION("""COMPUTED_VALUE"""),152.41)</f>
        <v>152.41</v>
      </c>
      <c r="I1198" s="5">
        <f t="shared" si="1"/>
        <v>-0.003126609284</v>
      </c>
      <c r="K1198" s="5">
        <f t="shared" si="2"/>
        <v>-0.02208345395</v>
      </c>
      <c r="L1198" s="5">
        <f t="shared" si="3"/>
        <v>0.01919561243</v>
      </c>
      <c r="M1198" s="5">
        <f t="shared" si="4"/>
        <v>0.02289875992</v>
      </c>
      <c r="Q1198" s="5"/>
    </row>
    <row r="1199">
      <c r="A1199" s="4">
        <f>IFERROR(__xludf.DUMMYFUNCTION("""COMPUTED_VALUE"""),46024.66666666667)</f>
        <v>46024.66667</v>
      </c>
      <c r="B1199" s="1">
        <f>IFERROR(__xludf.DUMMYFUNCTION("""COMPUTED_VALUE"""),271.01)</f>
        <v>271.01</v>
      </c>
      <c r="C1199" s="4">
        <f>IFERROR(__xludf.DUMMYFUNCTION("""COMPUTED_VALUE"""),46024.66666666667)</f>
        <v>46024.66667</v>
      </c>
      <c r="D1199" s="1">
        <f>IFERROR(__xludf.DUMMYFUNCTION("""COMPUTED_VALUE"""),472.94)</f>
        <v>472.94</v>
      </c>
      <c r="E1199" s="4">
        <f>IFERROR(__xludf.DUMMYFUNCTION("""COMPUTED_VALUE"""),46024.66666666667)</f>
        <v>46024.66667</v>
      </c>
      <c r="F1199" s="1">
        <f>IFERROR(__xludf.DUMMYFUNCTION("""COMPUTED_VALUE"""),122.65)</f>
        <v>122.65</v>
      </c>
      <c r="G1199" s="4">
        <f>IFERROR(__xludf.DUMMYFUNCTION("""COMPUTED_VALUE"""),46024.66666666667)</f>
        <v>46024.66667</v>
      </c>
      <c r="H1199" s="1">
        <f>IFERROR(__xludf.DUMMYFUNCTION("""COMPUTED_VALUE"""),155.9)</f>
        <v>155.9</v>
      </c>
      <c r="I1199" s="5">
        <f t="shared" si="1"/>
        <v>-0.01383712778</v>
      </c>
      <c r="K1199" s="5">
        <f t="shared" si="2"/>
        <v>-0.0001902989808</v>
      </c>
      <c r="L1199" s="5">
        <f t="shared" si="3"/>
        <v>0.0220953934</v>
      </c>
      <c r="M1199" s="5">
        <f t="shared" si="4"/>
        <v>0.05099422707</v>
      </c>
      <c r="Q1199" s="5"/>
    </row>
    <row r="1200">
      <c r="A1200" s="4">
        <f>IFERROR(__xludf.DUMMYFUNCTION("""COMPUTED_VALUE"""),46027.66666666667)</f>
        <v>46027.66667</v>
      </c>
      <c r="B1200" s="1">
        <f>IFERROR(__xludf.DUMMYFUNCTION("""COMPUTED_VALUE"""),267.26)</f>
        <v>267.26</v>
      </c>
      <c r="C1200" s="4">
        <f>IFERROR(__xludf.DUMMYFUNCTION("""COMPUTED_VALUE"""),46027.66666666667)</f>
        <v>46027.66667</v>
      </c>
      <c r="D1200" s="1">
        <f>IFERROR(__xludf.DUMMYFUNCTION("""COMPUTED_VALUE"""),472.85)</f>
        <v>472.85</v>
      </c>
      <c r="E1200" s="4">
        <f>IFERROR(__xludf.DUMMYFUNCTION("""COMPUTED_VALUE"""),46027.66666666667)</f>
        <v>46027.66667</v>
      </c>
      <c r="F1200" s="1">
        <f>IFERROR(__xludf.DUMMYFUNCTION("""COMPUTED_VALUE"""),125.36)</f>
        <v>125.36</v>
      </c>
      <c r="G1200" s="4">
        <f>IFERROR(__xludf.DUMMYFUNCTION("""COMPUTED_VALUE"""),46027.66666666667)</f>
        <v>46027.66667</v>
      </c>
      <c r="H1200" s="1">
        <f>IFERROR(__xludf.DUMMYFUNCTION("""COMPUTED_VALUE"""),163.85)</f>
        <v>163.85</v>
      </c>
      <c r="I1200" s="5">
        <f t="shared" si="1"/>
        <v>-0.01833420639</v>
      </c>
      <c r="K1200" s="5">
        <f t="shared" si="2"/>
        <v>0.01196996933</v>
      </c>
      <c r="L1200" s="5">
        <f t="shared" si="3"/>
        <v>-0.03438098277</v>
      </c>
      <c r="M1200" s="5">
        <f t="shared" si="4"/>
        <v>-0.0446139762</v>
      </c>
      <c r="Q1200" s="5"/>
    </row>
    <row r="1201">
      <c r="A1201" s="4">
        <f>IFERROR(__xludf.DUMMYFUNCTION("""COMPUTED_VALUE"""),46028.66666666667)</f>
        <v>46028.66667</v>
      </c>
      <c r="B1201" s="1">
        <f>IFERROR(__xludf.DUMMYFUNCTION("""COMPUTED_VALUE"""),262.36)</f>
        <v>262.36</v>
      </c>
      <c r="C1201" s="4">
        <f>IFERROR(__xludf.DUMMYFUNCTION("""COMPUTED_VALUE"""),46028.66666666667)</f>
        <v>46028.66667</v>
      </c>
      <c r="D1201" s="1">
        <f>IFERROR(__xludf.DUMMYFUNCTION("""COMPUTED_VALUE"""),478.51)</f>
        <v>478.51</v>
      </c>
      <c r="E1201" s="4">
        <f>IFERROR(__xludf.DUMMYFUNCTION("""COMPUTED_VALUE"""),46028.66666666667)</f>
        <v>46028.66667</v>
      </c>
      <c r="F1201" s="1">
        <f>IFERROR(__xludf.DUMMYFUNCTION("""COMPUTED_VALUE"""),121.05)</f>
        <v>121.05</v>
      </c>
      <c r="G1201" s="4">
        <f>IFERROR(__xludf.DUMMYFUNCTION("""COMPUTED_VALUE"""),46028.66666666667)</f>
        <v>46028.66667</v>
      </c>
      <c r="H1201" s="1">
        <f>IFERROR(__xludf.DUMMYFUNCTION("""COMPUTED_VALUE"""),156.54)</f>
        <v>156.54</v>
      </c>
      <c r="I1201" s="5">
        <f t="shared" si="1"/>
        <v>-0.007737459979</v>
      </c>
      <c r="K1201" s="5">
        <f t="shared" si="2"/>
        <v>0.0103655096</v>
      </c>
      <c r="L1201" s="5">
        <f t="shared" si="3"/>
        <v>-0.02114828583</v>
      </c>
      <c r="M1201" s="5">
        <f t="shared" si="4"/>
        <v>-0.008560112431</v>
      </c>
      <c r="Q1201" s="5"/>
    </row>
    <row r="1202">
      <c r="A1202" s="4">
        <f>IFERROR(__xludf.DUMMYFUNCTION("""COMPUTED_VALUE"""),46029.66666666667)</f>
        <v>46029.66667</v>
      </c>
      <c r="B1202" s="1">
        <f>IFERROR(__xludf.DUMMYFUNCTION("""COMPUTED_VALUE"""),260.33)</f>
        <v>260.33</v>
      </c>
      <c r="C1202" s="4">
        <f>IFERROR(__xludf.DUMMYFUNCTION("""COMPUTED_VALUE"""),46029.66666666667)</f>
        <v>46029.66667</v>
      </c>
      <c r="D1202" s="1">
        <f>IFERROR(__xludf.DUMMYFUNCTION("""COMPUTED_VALUE"""),483.47)</f>
        <v>483.47</v>
      </c>
      <c r="E1202" s="4">
        <f>IFERROR(__xludf.DUMMYFUNCTION("""COMPUTED_VALUE"""),46029.66666666667)</f>
        <v>46029.66667</v>
      </c>
      <c r="F1202" s="1">
        <f>IFERROR(__xludf.DUMMYFUNCTION("""COMPUTED_VALUE"""),118.49)</f>
        <v>118.49</v>
      </c>
      <c r="G1202" s="4">
        <f>IFERROR(__xludf.DUMMYFUNCTION("""COMPUTED_VALUE"""),46029.66666666667)</f>
        <v>46029.66667</v>
      </c>
      <c r="H1202" s="1">
        <f>IFERROR(__xludf.DUMMYFUNCTION("""COMPUTED_VALUE"""),155.2)</f>
        <v>155.2</v>
      </c>
      <c r="I1202" s="5">
        <f t="shared" si="1"/>
        <v>-0.004955249107</v>
      </c>
      <c r="K1202" s="5">
        <f t="shared" si="2"/>
        <v>-0.01108652036</v>
      </c>
      <c r="L1202" s="5">
        <f t="shared" si="3"/>
        <v>0.03730272597</v>
      </c>
      <c r="M1202" s="5">
        <f t="shared" si="4"/>
        <v>0.02609536082</v>
      </c>
      <c r="Q1202" s="5"/>
    </row>
    <row r="1203">
      <c r="A1203" s="4">
        <f>IFERROR(__xludf.DUMMYFUNCTION("""COMPUTED_VALUE"""),46030.66666666667)</f>
        <v>46030.66667</v>
      </c>
      <c r="B1203" s="1">
        <f>IFERROR(__xludf.DUMMYFUNCTION("""COMPUTED_VALUE"""),259.04)</f>
        <v>259.04</v>
      </c>
      <c r="C1203" s="4">
        <f>IFERROR(__xludf.DUMMYFUNCTION("""COMPUTED_VALUE"""),46030.66666666667)</f>
        <v>46030.66667</v>
      </c>
      <c r="D1203" s="1">
        <f>IFERROR(__xludf.DUMMYFUNCTION("""COMPUTED_VALUE"""),478.11)</f>
        <v>478.11</v>
      </c>
      <c r="E1203" s="4">
        <f>IFERROR(__xludf.DUMMYFUNCTION("""COMPUTED_VALUE"""),46030.66666666667)</f>
        <v>46030.66667</v>
      </c>
      <c r="F1203" s="1">
        <f>IFERROR(__xludf.DUMMYFUNCTION("""COMPUTED_VALUE"""),122.91)</f>
        <v>122.91</v>
      </c>
      <c r="G1203" s="4">
        <f>IFERROR(__xludf.DUMMYFUNCTION("""COMPUTED_VALUE"""),46030.66666666667)</f>
        <v>46030.66667</v>
      </c>
      <c r="H1203" s="1">
        <f>IFERROR(__xludf.DUMMYFUNCTION("""COMPUTED_VALUE"""),159.25)</f>
        <v>159.25</v>
      </c>
      <c r="I1203" s="5">
        <f t="shared" si="1"/>
        <v>0.001273934527</v>
      </c>
      <c r="K1203" s="5">
        <f t="shared" si="2"/>
        <v>0.002447135596</v>
      </c>
      <c r="L1203" s="5">
        <f t="shared" si="3"/>
        <v>0.01383125864</v>
      </c>
      <c r="M1203" s="5">
        <f t="shared" si="4"/>
        <v>0.01795918367</v>
      </c>
      <c r="Q1203" s="5"/>
    </row>
    <row r="1204">
      <c r="A1204" s="4">
        <f>IFERROR(__xludf.DUMMYFUNCTION("""COMPUTED_VALUE"""),46031.66666666667)</f>
        <v>46031.66667</v>
      </c>
      <c r="B1204" s="1">
        <f>IFERROR(__xludf.DUMMYFUNCTION("""COMPUTED_VALUE"""),259.37)</f>
        <v>259.37</v>
      </c>
      <c r="C1204" s="4">
        <f>IFERROR(__xludf.DUMMYFUNCTION("""COMPUTED_VALUE"""),46031.66666666667)</f>
        <v>46031.66667</v>
      </c>
      <c r="D1204" s="1">
        <f>IFERROR(__xludf.DUMMYFUNCTION("""COMPUTED_VALUE"""),479.28)</f>
        <v>479.28</v>
      </c>
      <c r="E1204" s="4">
        <f>IFERROR(__xludf.DUMMYFUNCTION("""COMPUTED_VALUE"""),46031.66666666667)</f>
        <v>46031.66667</v>
      </c>
      <c r="F1204" s="1">
        <f>IFERROR(__xludf.DUMMYFUNCTION("""COMPUTED_VALUE"""),124.61)</f>
        <v>124.61</v>
      </c>
      <c r="G1204" s="4">
        <f>IFERROR(__xludf.DUMMYFUNCTION("""COMPUTED_VALUE"""),46031.66666666667)</f>
        <v>46031.66667</v>
      </c>
      <c r="H1204" s="1">
        <f>IFERROR(__xludf.DUMMYFUNCTION("""COMPUTED_VALUE"""),162.11)</f>
        <v>162.11</v>
      </c>
      <c r="I1204" s="5">
        <f t="shared" si="1"/>
        <v>0.003392836488</v>
      </c>
      <c r="K1204" s="5">
        <f t="shared" si="2"/>
        <v>-0.004381572359</v>
      </c>
      <c r="L1204" s="5">
        <f t="shared" si="3"/>
        <v>-0.004654522109</v>
      </c>
      <c r="M1204" s="5">
        <f t="shared" si="4"/>
        <v>0.001418789711</v>
      </c>
      <c r="Q1204" s="5"/>
    </row>
    <row r="1205">
      <c r="A1205" s="4">
        <f>IFERROR(__xludf.DUMMYFUNCTION("""COMPUTED_VALUE"""),46034.66666666667)</f>
        <v>46034.66667</v>
      </c>
      <c r="B1205" s="1">
        <f>IFERROR(__xludf.DUMMYFUNCTION("""COMPUTED_VALUE"""),260.25)</f>
        <v>260.25</v>
      </c>
      <c r="C1205" s="4">
        <f>IFERROR(__xludf.DUMMYFUNCTION("""COMPUTED_VALUE"""),46034.66666666667)</f>
        <v>46034.66667</v>
      </c>
      <c r="D1205" s="1">
        <f>IFERROR(__xludf.DUMMYFUNCTION("""COMPUTED_VALUE"""),477.18)</f>
        <v>477.18</v>
      </c>
      <c r="E1205" s="4">
        <f>IFERROR(__xludf.DUMMYFUNCTION("""COMPUTED_VALUE"""),46034.66666666667)</f>
        <v>46034.66667</v>
      </c>
      <c r="F1205" s="1">
        <f>IFERROR(__xludf.DUMMYFUNCTION("""COMPUTED_VALUE"""),124.03)</f>
        <v>124.03</v>
      </c>
      <c r="G1205" s="4">
        <f>IFERROR(__xludf.DUMMYFUNCTION("""COMPUTED_VALUE"""),46034.66666666667)</f>
        <v>46034.66667</v>
      </c>
      <c r="H1205" s="1">
        <f>IFERROR(__xludf.DUMMYFUNCTION("""COMPUTED_VALUE"""),162.34)</f>
        <v>162.34</v>
      </c>
      <c r="I1205" s="5">
        <f t="shared" si="1"/>
        <v>0.003073967339</v>
      </c>
      <c r="K1205" s="5">
        <f t="shared" si="2"/>
        <v>-0.01364265057</v>
      </c>
      <c r="L1205" s="5">
        <f t="shared" si="3"/>
        <v>0.02023703943</v>
      </c>
      <c r="M1205" s="5">
        <f t="shared" si="4"/>
        <v>0.009424664285</v>
      </c>
      <c r="Q1205" s="5"/>
    </row>
    <row r="1206">
      <c r="A1206" s="4">
        <f>IFERROR(__xludf.DUMMYFUNCTION("""COMPUTED_VALUE"""),46035.66666666667)</f>
        <v>46035.66667</v>
      </c>
      <c r="B1206" s="1">
        <f>IFERROR(__xludf.DUMMYFUNCTION("""COMPUTED_VALUE"""),261.05)</f>
        <v>261.05</v>
      </c>
      <c r="C1206" s="4">
        <f>IFERROR(__xludf.DUMMYFUNCTION("""COMPUTED_VALUE"""),46035.66666666667)</f>
        <v>46035.66667</v>
      </c>
      <c r="D1206" s="1">
        <f>IFERROR(__xludf.DUMMYFUNCTION("""COMPUTED_VALUE"""),470.67)</f>
        <v>470.67</v>
      </c>
      <c r="E1206" s="4">
        <f>IFERROR(__xludf.DUMMYFUNCTION("""COMPUTED_VALUE"""),46035.66666666667)</f>
        <v>46035.66667</v>
      </c>
      <c r="F1206" s="1">
        <f>IFERROR(__xludf.DUMMYFUNCTION("""COMPUTED_VALUE"""),126.54)</f>
        <v>126.54</v>
      </c>
      <c r="G1206" s="4">
        <f>IFERROR(__xludf.DUMMYFUNCTION("""COMPUTED_VALUE"""),46035.66666666667)</f>
        <v>46035.66667</v>
      </c>
      <c r="H1206" s="1">
        <f>IFERROR(__xludf.DUMMYFUNCTION("""COMPUTED_VALUE"""),163.87)</f>
        <v>163.87</v>
      </c>
      <c r="I1206" s="5">
        <f t="shared" si="1"/>
        <v>-0.004175445317</v>
      </c>
      <c r="K1206" s="5">
        <f t="shared" si="2"/>
        <v>-0.02398708224</v>
      </c>
      <c r="L1206" s="5">
        <f t="shared" si="3"/>
        <v>0.0289236605</v>
      </c>
      <c r="M1206" s="5">
        <f t="shared" si="4"/>
        <v>0.02056508208</v>
      </c>
      <c r="Q1206" s="5"/>
    </row>
    <row r="1207">
      <c r="A1207" s="4">
        <f>IFERROR(__xludf.DUMMYFUNCTION("""COMPUTED_VALUE"""),46036.66666666667)</f>
        <v>46036.66667</v>
      </c>
      <c r="B1207" s="1">
        <f>IFERROR(__xludf.DUMMYFUNCTION("""COMPUTED_VALUE"""),259.96)</f>
        <v>259.96</v>
      </c>
      <c r="C1207" s="4">
        <f>IFERROR(__xludf.DUMMYFUNCTION("""COMPUTED_VALUE"""),46036.66666666667)</f>
        <v>46036.66667</v>
      </c>
      <c r="D1207" s="1">
        <f>IFERROR(__xludf.DUMMYFUNCTION("""COMPUTED_VALUE"""),459.38)</f>
        <v>459.38</v>
      </c>
      <c r="E1207" s="4">
        <f>IFERROR(__xludf.DUMMYFUNCTION("""COMPUTED_VALUE"""),46036.66666666667)</f>
        <v>46036.66667</v>
      </c>
      <c r="F1207" s="1">
        <f>IFERROR(__xludf.DUMMYFUNCTION("""COMPUTED_VALUE"""),130.2)</f>
        <v>130.2</v>
      </c>
      <c r="G1207" s="4">
        <f>IFERROR(__xludf.DUMMYFUNCTION("""COMPUTED_VALUE"""),46036.66666666667)</f>
        <v>46036.66667</v>
      </c>
      <c r="H1207" s="1">
        <f>IFERROR(__xludf.DUMMYFUNCTION("""COMPUTED_VALUE"""),167.24)</f>
        <v>167.24</v>
      </c>
      <c r="I1207" s="5">
        <f t="shared" si="1"/>
        <v>-0.006731804893</v>
      </c>
      <c r="K1207" s="5">
        <f t="shared" si="2"/>
        <v>-0.005921023989</v>
      </c>
      <c r="L1207" s="5">
        <f t="shared" si="3"/>
        <v>-0.00821812596</v>
      </c>
      <c r="M1207" s="5">
        <f t="shared" si="4"/>
        <v>-0.006457785219</v>
      </c>
      <c r="Q1207" s="5"/>
    </row>
    <row r="1208">
      <c r="A1208" s="4">
        <f>IFERROR(__xludf.DUMMYFUNCTION("""COMPUTED_VALUE"""),46037.66666666667)</f>
        <v>46037.66667</v>
      </c>
      <c r="B1208" s="1">
        <f>IFERROR(__xludf.DUMMYFUNCTION("""COMPUTED_VALUE"""),258.21)</f>
        <v>258.21</v>
      </c>
      <c r="C1208" s="4">
        <f>IFERROR(__xludf.DUMMYFUNCTION("""COMPUTED_VALUE"""),46037.66666666667)</f>
        <v>46037.66667</v>
      </c>
      <c r="D1208" s="1">
        <f>IFERROR(__xludf.DUMMYFUNCTION("""COMPUTED_VALUE"""),456.66)</f>
        <v>456.66</v>
      </c>
      <c r="E1208" s="4">
        <f>IFERROR(__xludf.DUMMYFUNCTION("""COMPUTED_VALUE"""),46037.66666666667)</f>
        <v>46037.66667</v>
      </c>
      <c r="F1208" s="1">
        <f>IFERROR(__xludf.DUMMYFUNCTION("""COMPUTED_VALUE"""),129.13)</f>
        <v>129.13</v>
      </c>
      <c r="G1208" s="4">
        <f>IFERROR(__xludf.DUMMYFUNCTION("""COMPUTED_VALUE"""),46037.66666666667)</f>
        <v>46037.66667</v>
      </c>
      <c r="H1208" s="1">
        <f>IFERROR(__xludf.DUMMYFUNCTION("""COMPUTED_VALUE"""),166.16)</f>
        <v>166.16</v>
      </c>
      <c r="I1208" s="5">
        <f t="shared" si="1"/>
        <v>-0.01037914875</v>
      </c>
      <c r="K1208" s="5">
        <f t="shared" si="2"/>
        <v>0.007007401568</v>
      </c>
      <c r="L1208" s="5">
        <f t="shared" si="3"/>
        <v>0.005885541702</v>
      </c>
      <c r="M1208" s="5">
        <f t="shared" si="4"/>
        <v>0.0006018295619</v>
      </c>
      <c r="Q1208" s="5"/>
    </row>
    <row r="1209">
      <c r="A1209" s="4">
        <f>IFERROR(__xludf.DUMMYFUNCTION("""COMPUTED_VALUE"""),46038.66666666667)</f>
        <v>46038.66667</v>
      </c>
      <c r="B1209" s="1">
        <f>IFERROR(__xludf.DUMMYFUNCTION("""COMPUTED_VALUE"""),255.53)</f>
        <v>255.53</v>
      </c>
      <c r="C1209" s="4">
        <f>IFERROR(__xludf.DUMMYFUNCTION("""COMPUTED_VALUE"""),46038.66666666667)</f>
        <v>46038.66667</v>
      </c>
      <c r="D1209" s="1">
        <f>IFERROR(__xludf.DUMMYFUNCTION("""COMPUTED_VALUE"""),459.86)</f>
        <v>459.86</v>
      </c>
      <c r="E1209" s="4">
        <f>IFERROR(__xludf.DUMMYFUNCTION("""COMPUTED_VALUE"""),46038.66666666667)</f>
        <v>46038.66667</v>
      </c>
      <c r="F1209" s="1">
        <f>IFERROR(__xludf.DUMMYFUNCTION("""COMPUTED_VALUE"""),129.89)</f>
        <v>129.89</v>
      </c>
      <c r="G1209" s="4">
        <f>IFERROR(__xludf.DUMMYFUNCTION("""COMPUTED_VALUE"""),46038.66666666667)</f>
        <v>46038.66667</v>
      </c>
      <c r="H1209" s="1">
        <f>IFERROR(__xludf.DUMMYFUNCTION("""COMPUTED_VALUE"""),166.26)</f>
        <v>166.26</v>
      </c>
      <c r="I1209" s="5">
        <f t="shared" si="1"/>
        <v>-0.03455562948</v>
      </c>
      <c r="K1209" s="5">
        <f t="shared" si="2"/>
        <v>-0.01161222981</v>
      </c>
      <c r="L1209" s="5">
        <f t="shared" si="3"/>
        <v>0.004388328586</v>
      </c>
      <c r="M1209" s="5">
        <f t="shared" si="4"/>
        <v>-0.005774088777</v>
      </c>
      <c r="Q1209" s="5"/>
    </row>
    <row r="1210">
      <c r="A1210" s="4">
        <f>IFERROR(__xludf.DUMMYFUNCTION("""COMPUTED_VALUE"""),46042.66666666667)</f>
        <v>46042.66667</v>
      </c>
      <c r="B1210" s="1">
        <f>IFERROR(__xludf.DUMMYFUNCTION("""COMPUTED_VALUE"""),246.7)</f>
        <v>246.7</v>
      </c>
      <c r="C1210" s="4">
        <f>IFERROR(__xludf.DUMMYFUNCTION("""COMPUTED_VALUE"""),46042.66666666667)</f>
        <v>46042.66667</v>
      </c>
      <c r="D1210" s="1">
        <f>IFERROR(__xludf.DUMMYFUNCTION("""COMPUTED_VALUE"""),454.52)</f>
        <v>454.52</v>
      </c>
      <c r="E1210" s="4">
        <f>IFERROR(__xludf.DUMMYFUNCTION("""COMPUTED_VALUE"""),46042.66666666667)</f>
        <v>46042.66667</v>
      </c>
      <c r="F1210" s="1">
        <f>IFERROR(__xludf.DUMMYFUNCTION("""COMPUTED_VALUE"""),130.46)</f>
        <v>130.46</v>
      </c>
      <c r="G1210" s="4">
        <f>IFERROR(__xludf.DUMMYFUNCTION("""COMPUTED_VALUE"""),46042.66666666667)</f>
        <v>46042.66667</v>
      </c>
      <c r="H1210" s="1">
        <f>IFERROR(__xludf.DUMMYFUNCTION("""COMPUTED_VALUE"""),165.3)</f>
        <v>165.3</v>
      </c>
      <c r="I1210" s="5">
        <f t="shared" si="1"/>
        <v>0.003850830969</v>
      </c>
      <c r="K1210" s="5">
        <f t="shared" si="2"/>
        <v>-0.02290328258</v>
      </c>
      <c r="L1210" s="5">
        <f t="shared" si="3"/>
        <v>0.0241453319</v>
      </c>
      <c r="M1210" s="5">
        <f t="shared" si="4"/>
        <v>0.008650937689</v>
      </c>
      <c r="Q1210" s="5"/>
    </row>
    <row r="1211">
      <c r="A1211" s="4">
        <f>IFERROR(__xludf.DUMMYFUNCTION("""COMPUTED_VALUE"""),46043.66666666667)</f>
        <v>46043.66667</v>
      </c>
      <c r="B1211" s="1">
        <f>IFERROR(__xludf.DUMMYFUNCTION("""COMPUTED_VALUE"""),247.65)</f>
        <v>247.65</v>
      </c>
      <c r="C1211" s="4">
        <f>IFERROR(__xludf.DUMMYFUNCTION("""COMPUTED_VALUE"""),46043.66666666667)</f>
        <v>46043.66667</v>
      </c>
      <c r="D1211" s="1">
        <f>IFERROR(__xludf.DUMMYFUNCTION("""COMPUTED_VALUE"""),444.11)</f>
        <v>444.11</v>
      </c>
      <c r="E1211" s="4">
        <f>IFERROR(__xludf.DUMMYFUNCTION("""COMPUTED_VALUE"""),46043.66666666667)</f>
        <v>46043.66667</v>
      </c>
      <c r="F1211" s="1">
        <f>IFERROR(__xludf.DUMMYFUNCTION("""COMPUTED_VALUE"""),133.61)</f>
        <v>133.61</v>
      </c>
      <c r="G1211" s="4">
        <f>IFERROR(__xludf.DUMMYFUNCTION("""COMPUTED_VALUE"""),46043.66666666667)</f>
        <v>46043.66667</v>
      </c>
      <c r="H1211" s="1">
        <f>IFERROR(__xludf.DUMMYFUNCTION("""COMPUTED_VALUE"""),166.73)</f>
        <v>166.73</v>
      </c>
      <c r="I1211" s="5">
        <f t="shared" si="1"/>
        <v>0.002826569756</v>
      </c>
      <c r="K1211" s="5">
        <f t="shared" si="2"/>
        <v>0.01582941163</v>
      </c>
      <c r="L1211" s="5">
        <f t="shared" si="3"/>
        <v>0.0002245340918</v>
      </c>
      <c r="M1211" s="5">
        <f t="shared" si="4"/>
        <v>-0.0004198404606</v>
      </c>
      <c r="Q1211" s="5"/>
    </row>
    <row r="1212">
      <c r="A1212" s="4">
        <f>IFERROR(__xludf.DUMMYFUNCTION("""COMPUTED_VALUE"""),46044.66666666667)</f>
        <v>46044.66667</v>
      </c>
      <c r="B1212" s="1">
        <f>IFERROR(__xludf.DUMMYFUNCTION("""COMPUTED_VALUE"""),248.35)</f>
        <v>248.35</v>
      </c>
      <c r="C1212" s="4">
        <f>IFERROR(__xludf.DUMMYFUNCTION("""COMPUTED_VALUE"""),46044.66666666667)</f>
        <v>46044.66667</v>
      </c>
      <c r="D1212" s="1">
        <f>IFERROR(__xludf.DUMMYFUNCTION("""COMPUTED_VALUE"""),451.14)</f>
        <v>451.14</v>
      </c>
      <c r="E1212" s="4">
        <f>IFERROR(__xludf.DUMMYFUNCTION("""COMPUTED_VALUE"""),46044.66666666667)</f>
        <v>46044.66667</v>
      </c>
      <c r="F1212" s="1">
        <f>IFERROR(__xludf.DUMMYFUNCTION("""COMPUTED_VALUE"""),133.64)</f>
        <v>133.64</v>
      </c>
      <c r="G1212" s="4">
        <f>IFERROR(__xludf.DUMMYFUNCTION("""COMPUTED_VALUE"""),46044.66666666667)</f>
        <v>46044.66667</v>
      </c>
      <c r="H1212" s="1">
        <f>IFERROR(__xludf.DUMMYFUNCTION("""COMPUTED_VALUE"""),166.66)</f>
        <v>166.66</v>
      </c>
      <c r="I1212" s="5">
        <f t="shared" si="1"/>
        <v>-0.001248238373</v>
      </c>
      <c r="K1212" s="5">
        <f t="shared" si="2"/>
        <v>0.03282794698</v>
      </c>
      <c r="L1212" s="5">
        <f t="shared" si="3"/>
        <v>0.009952110147</v>
      </c>
      <c r="M1212" s="5">
        <f t="shared" si="4"/>
        <v>0.0003600144006</v>
      </c>
      <c r="Q1212" s="5"/>
    </row>
    <row r="1213">
      <c r="A1213" s="4">
        <f>IFERROR(__xludf.DUMMYFUNCTION("""COMPUTED_VALUE"""),46045.66666666667)</f>
        <v>46045.66667</v>
      </c>
      <c r="B1213" s="1">
        <f>IFERROR(__xludf.DUMMYFUNCTION("""COMPUTED_VALUE"""),248.04)</f>
        <v>248.04</v>
      </c>
      <c r="C1213" s="4">
        <f>IFERROR(__xludf.DUMMYFUNCTION("""COMPUTED_VALUE"""),46045.66666666667)</f>
        <v>46045.66667</v>
      </c>
      <c r="D1213" s="1">
        <f>IFERROR(__xludf.DUMMYFUNCTION("""COMPUTED_VALUE"""),465.95)</f>
        <v>465.95</v>
      </c>
      <c r="E1213" s="4">
        <f>IFERROR(__xludf.DUMMYFUNCTION("""COMPUTED_VALUE"""),46045.66666666667)</f>
        <v>46045.66667</v>
      </c>
      <c r="F1213" s="1">
        <f>IFERROR(__xludf.DUMMYFUNCTION("""COMPUTED_VALUE"""),134.97)</f>
        <v>134.97</v>
      </c>
      <c r="G1213" s="4">
        <f>IFERROR(__xludf.DUMMYFUNCTION("""COMPUTED_VALUE"""),46045.66666666667)</f>
        <v>46045.66667</v>
      </c>
      <c r="H1213" s="1">
        <f>IFERROR(__xludf.DUMMYFUNCTION("""COMPUTED_VALUE"""),166.72)</f>
        <v>166.72</v>
      </c>
      <c r="I1213" s="5">
        <f t="shared" si="1"/>
        <v>0.02971294952</v>
      </c>
      <c r="K1213" s="5">
        <f t="shared" si="2"/>
        <v>0.00929284258</v>
      </c>
      <c r="L1213" s="5">
        <f t="shared" si="3"/>
        <v>-0.0009631770023</v>
      </c>
      <c r="M1213" s="5">
        <f t="shared" si="4"/>
        <v>0.004678502879</v>
      </c>
      <c r="Q1213" s="5"/>
    </row>
    <row r="1214">
      <c r="A1214" s="4">
        <f>IFERROR(__xludf.DUMMYFUNCTION("""COMPUTED_VALUE"""),46048.66666666667)</f>
        <v>46048.66667</v>
      </c>
      <c r="B1214" s="1">
        <f>IFERROR(__xludf.DUMMYFUNCTION("""COMPUTED_VALUE"""),255.41)</f>
        <v>255.41</v>
      </c>
      <c r="C1214" s="4">
        <f>IFERROR(__xludf.DUMMYFUNCTION("""COMPUTED_VALUE"""),46048.66666666667)</f>
        <v>46048.66667</v>
      </c>
      <c r="D1214" s="1">
        <f>IFERROR(__xludf.DUMMYFUNCTION("""COMPUTED_VALUE"""),470.28)</f>
        <v>470.28</v>
      </c>
      <c r="E1214" s="4">
        <f>IFERROR(__xludf.DUMMYFUNCTION("""COMPUTED_VALUE"""),46048.66666666667)</f>
        <v>46048.66667</v>
      </c>
      <c r="F1214" s="1">
        <f>IFERROR(__xludf.DUMMYFUNCTION("""COMPUTED_VALUE"""),134.84)</f>
        <v>134.84</v>
      </c>
      <c r="G1214" s="4">
        <f>IFERROR(__xludf.DUMMYFUNCTION("""COMPUTED_VALUE"""),46048.66666666667)</f>
        <v>46048.66667</v>
      </c>
      <c r="H1214" s="1">
        <f>IFERROR(__xludf.DUMMYFUNCTION("""COMPUTED_VALUE"""),167.5)</f>
        <v>167.5</v>
      </c>
      <c r="I1214" s="5">
        <f t="shared" si="1"/>
        <v>0.01119768216</v>
      </c>
      <c r="K1214" s="5">
        <f t="shared" si="2"/>
        <v>0.02190184571</v>
      </c>
      <c r="L1214" s="5">
        <f t="shared" si="3"/>
        <v>0.01475823198</v>
      </c>
      <c r="M1214" s="5">
        <f t="shared" si="4"/>
        <v>0.009253731343</v>
      </c>
      <c r="Q1214" s="5"/>
    </row>
    <row r="1215">
      <c r="A1215" s="4">
        <f>IFERROR(__xludf.DUMMYFUNCTION("""COMPUTED_VALUE"""),46049.66666666667)</f>
        <v>46049.66667</v>
      </c>
      <c r="B1215" s="1">
        <f>IFERROR(__xludf.DUMMYFUNCTION("""COMPUTED_VALUE"""),258.27)</f>
        <v>258.27</v>
      </c>
      <c r="C1215" s="4">
        <f>IFERROR(__xludf.DUMMYFUNCTION("""COMPUTED_VALUE"""),46049.66666666667)</f>
        <v>46049.66667</v>
      </c>
      <c r="D1215" s="1">
        <f>IFERROR(__xludf.DUMMYFUNCTION("""COMPUTED_VALUE"""),480.58)</f>
        <v>480.58</v>
      </c>
      <c r="E1215" s="4">
        <f>IFERROR(__xludf.DUMMYFUNCTION("""COMPUTED_VALUE"""),46049.66666666667)</f>
        <v>46049.66667</v>
      </c>
      <c r="F1215" s="1">
        <f>IFERROR(__xludf.DUMMYFUNCTION("""COMPUTED_VALUE"""),136.83)</f>
        <v>136.83</v>
      </c>
      <c r="G1215" s="4">
        <f>IFERROR(__xludf.DUMMYFUNCTION("""COMPUTED_VALUE"""),46049.66666666667)</f>
        <v>46049.66667</v>
      </c>
      <c r="H1215" s="1">
        <f>IFERROR(__xludf.DUMMYFUNCTION("""COMPUTED_VALUE"""),169.05)</f>
        <v>169.05</v>
      </c>
      <c r="I1215" s="5">
        <f t="shared" si="1"/>
        <v>-0.007085608085</v>
      </c>
      <c r="K1215" s="5">
        <f t="shared" si="2"/>
        <v>0.002184859961</v>
      </c>
      <c r="L1215" s="5">
        <f t="shared" si="3"/>
        <v>0.005481254111</v>
      </c>
      <c r="M1215" s="5">
        <f t="shared" si="4"/>
        <v>0.005205560485</v>
      </c>
      <c r="Q1215" s="5"/>
    </row>
    <row r="1216">
      <c r="A1216" s="4">
        <f>IFERROR(__xludf.DUMMYFUNCTION("""COMPUTED_VALUE"""),46050.66666666667)</f>
        <v>46050.66667</v>
      </c>
      <c r="B1216" s="1">
        <f>IFERROR(__xludf.DUMMYFUNCTION("""COMPUTED_VALUE"""),256.44)</f>
        <v>256.44</v>
      </c>
      <c r="C1216" s="4">
        <f>IFERROR(__xludf.DUMMYFUNCTION("""COMPUTED_VALUE"""),46050.66666666667)</f>
        <v>46050.66667</v>
      </c>
      <c r="D1216" s="1">
        <f>IFERROR(__xludf.DUMMYFUNCTION("""COMPUTED_VALUE"""),481.63)</f>
        <v>481.63</v>
      </c>
      <c r="E1216" s="4">
        <f>IFERROR(__xludf.DUMMYFUNCTION("""COMPUTED_VALUE"""),46050.66666666667)</f>
        <v>46050.66667</v>
      </c>
      <c r="F1216" s="1">
        <f>IFERROR(__xludf.DUMMYFUNCTION("""COMPUTED_VALUE"""),137.58)</f>
        <v>137.58</v>
      </c>
      <c r="G1216" s="4">
        <f>IFERROR(__xludf.DUMMYFUNCTION("""COMPUTED_VALUE"""),46050.66666666667)</f>
        <v>46050.66667</v>
      </c>
      <c r="H1216" s="1">
        <f>IFERROR(__xludf.DUMMYFUNCTION("""COMPUTED_VALUE"""),169.93)</f>
        <v>169.93</v>
      </c>
      <c r="I1216" s="5">
        <f t="shared" si="1"/>
        <v>0.007175167681</v>
      </c>
      <c r="K1216" s="5">
        <f t="shared" si="2"/>
        <v>-0.09993148267</v>
      </c>
      <c r="L1216" s="5">
        <f t="shared" si="3"/>
        <v>0.0212967001</v>
      </c>
      <c r="M1216" s="5">
        <f t="shared" si="4"/>
        <v>0.007414817866</v>
      </c>
      <c r="Q1216" s="5"/>
    </row>
    <row r="1217">
      <c r="A1217" s="4">
        <f>IFERROR(__xludf.DUMMYFUNCTION("""COMPUTED_VALUE"""),46051.66666666667)</f>
        <v>46051.66667</v>
      </c>
      <c r="B1217" s="1">
        <f>IFERROR(__xludf.DUMMYFUNCTION("""COMPUTED_VALUE"""),258.28)</f>
        <v>258.28</v>
      </c>
      <c r="C1217" s="4">
        <f>IFERROR(__xludf.DUMMYFUNCTION("""COMPUTED_VALUE"""),46051.66666666667)</f>
        <v>46051.66667</v>
      </c>
      <c r="D1217" s="1">
        <f>IFERROR(__xludf.DUMMYFUNCTION("""COMPUTED_VALUE"""),433.5)</f>
        <v>433.5</v>
      </c>
      <c r="E1217" s="4">
        <f>IFERROR(__xludf.DUMMYFUNCTION("""COMPUTED_VALUE"""),46051.66666666667)</f>
        <v>46051.66667</v>
      </c>
      <c r="F1217" s="1">
        <f>IFERROR(__xludf.DUMMYFUNCTION("""COMPUTED_VALUE"""),140.51)</f>
        <v>140.51</v>
      </c>
      <c r="G1217" s="4">
        <f>IFERROR(__xludf.DUMMYFUNCTION("""COMPUTED_VALUE"""),46051.66666666667)</f>
        <v>46051.66667</v>
      </c>
      <c r="H1217" s="1">
        <f>IFERROR(__xludf.DUMMYFUNCTION("""COMPUTED_VALUE"""),171.19)</f>
        <v>171.19</v>
      </c>
      <c r="I1217" s="5">
        <f t="shared" si="1"/>
        <v>0.004646120489</v>
      </c>
      <c r="K1217" s="5">
        <f t="shared" si="2"/>
        <v>-0.007404844291</v>
      </c>
      <c r="L1217" s="5">
        <f t="shared" si="3"/>
        <v>0.00633406875</v>
      </c>
      <c r="M1217" s="5">
        <f t="shared" si="4"/>
        <v>0.03335475203</v>
      </c>
      <c r="Q1217" s="5"/>
    </row>
    <row r="1218">
      <c r="A1218" s="4">
        <f>IFERROR(__xludf.DUMMYFUNCTION("""COMPUTED_VALUE"""),46052.66666666667)</f>
        <v>46052.66667</v>
      </c>
      <c r="B1218" s="1">
        <f>IFERROR(__xludf.DUMMYFUNCTION("""COMPUTED_VALUE"""),259.48)</f>
        <v>259.48</v>
      </c>
      <c r="C1218" s="4">
        <f>IFERROR(__xludf.DUMMYFUNCTION("""COMPUTED_VALUE"""),46052.66666666667)</f>
        <v>46052.66667</v>
      </c>
      <c r="D1218" s="1">
        <f>IFERROR(__xludf.DUMMYFUNCTION("""COMPUTED_VALUE"""),430.29)</f>
        <v>430.29</v>
      </c>
      <c r="E1218" s="4">
        <f>IFERROR(__xludf.DUMMYFUNCTION("""COMPUTED_VALUE"""),46052.66666666667)</f>
        <v>46052.66667</v>
      </c>
      <c r="F1218" s="1">
        <f>IFERROR(__xludf.DUMMYFUNCTION("""COMPUTED_VALUE"""),141.4)</f>
        <v>141.4</v>
      </c>
      <c r="G1218" s="4">
        <f>IFERROR(__xludf.DUMMYFUNCTION("""COMPUTED_VALUE"""),46052.66666666667)</f>
        <v>46052.66667</v>
      </c>
      <c r="H1218" s="1">
        <f>IFERROR(__xludf.DUMMYFUNCTION("""COMPUTED_VALUE"""),176.9)</f>
        <v>176.9</v>
      </c>
      <c r="I1218" s="5">
        <f t="shared" si="1"/>
        <v>0.04058116232</v>
      </c>
      <c r="K1218" s="5">
        <f t="shared" si="2"/>
        <v>-0.01608217714</v>
      </c>
      <c r="L1218" s="5">
        <f t="shared" si="3"/>
        <v>-0.02121640736</v>
      </c>
      <c r="M1218" s="5">
        <f t="shared" si="4"/>
        <v>-0.01622385529</v>
      </c>
      <c r="Q1218" s="5"/>
    </row>
    <row r="1219">
      <c r="A1219" s="4">
        <f>IFERROR(__xludf.DUMMYFUNCTION("""COMPUTED_VALUE"""),46055.66666666667)</f>
        <v>46055.66667</v>
      </c>
      <c r="B1219" s="1">
        <f>IFERROR(__xludf.DUMMYFUNCTION("""COMPUTED_VALUE"""),270.01)</f>
        <v>270.01</v>
      </c>
      <c r="C1219" s="4">
        <f>IFERROR(__xludf.DUMMYFUNCTION("""COMPUTED_VALUE"""),46055.66666666667)</f>
        <v>46055.66667</v>
      </c>
      <c r="D1219" s="1">
        <f>IFERROR(__xludf.DUMMYFUNCTION("""COMPUTED_VALUE"""),423.37)</f>
        <v>423.37</v>
      </c>
      <c r="E1219" s="4">
        <f>IFERROR(__xludf.DUMMYFUNCTION("""COMPUTED_VALUE"""),46055.66666666667)</f>
        <v>46055.66667</v>
      </c>
      <c r="F1219" s="1">
        <f>IFERROR(__xludf.DUMMYFUNCTION("""COMPUTED_VALUE"""),138.4)</f>
        <v>138.4</v>
      </c>
      <c r="G1219" s="4">
        <f>IFERROR(__xludf.DUMMYFUNCTION("""COMPUTED_VALUE"""),46055.66666666667)</f>
        <v>46055.66667</v>
      </c>
      <c r="H1219" s="1">
        <f>IFERROR(__xludf.DUMMYFUNCTION("""COMPUTED_VALUE"""),174.03)</f>
        <v>174.03</v>
      </c>
      <c r="I1219" s="5">
        <f t="shared" si="1"/>
        <v>-0.001962890263</v>
      </c>
      <c r="K1219" s="5">
        <f t="shared" si="2"/>
        <v>-0.02872192172</v>
      </c>
      <c r="L1219" s="5">
        <f t="shared" si="3"/>
        <v>0.03851156069</v>
      </c>
      <c r="M1219" s="5">
        <f t="shared" si="4"/>
        <v>0.02304200425</v>
      </c>
      <c r="Q1219" s="5"/>
    </row>
    <row r="1220">
      <c r="A1220" s="4">
        <f>IFERROR(__xludf.DUMMYFUNCTION("""COMPUTED_VALUE"""),46056.66666666667)</f>
        <v>46056.66667</v>
      </c>
      <c r="B1220" s="1">
        <f>IFERROR(__xludf.DUMMYFUNCTION("""COMPUTED_VALUE"""),269.48)</f>
        <v>269.48</v>
      </c>
      <c r="C1220" s="4">
        <f>IFERROR(__xludf.DUMMYFUNCTION("""COMPUTED_VALUE"""),46056.66666666667)</f>
        <v>46056.66667</v>
      </c>
      <c r="D1220" s="1">
        <f>IFERROR(__xludf.DUMMYFUNCTION("""COMPUTED_VALUE"""),411.21)</f>
        <v>411.21</v>
      </c>
      <c r="E1220" s="4">
        <f>IFERROR(__xludf.DUMMYFUNCTION("""COMPUTED_VALUE"""),46056.66666666667)</f>
        <v>46056.66667</v>
      </c>
      <c r="F1220" s="1">
        <f>IFERROR(__xludf.DUMMYFUNCTION("""COMPUTED_VALUE"""),143.73)</f>
        <v>143.73</v>
      </c>
      <c r="G1220" s="4">
        <f>IFERROR(__xludf.DUMMYFUNCTION("""COMPUTED_VALUE"""),46056.66666666667)</f>
        <v>46056.66667</v>
      </c>
      <c r="H1220" s="1">
        <f>IFERROR(__xludf.DUMMYFUNCTION("""COMPUTED_VALUE"""),178.04)</f>
        <v>178.04</v>
      </c>
      <c r="I1220" s="5">
        <f t="shared" si="1"/>
        <v>0.02601306219</v>
      </c>
      <c r="K1220" s="5">
        <f t="shared" si="2"/>
        <v>0.007246905474</v>
      </c>
      <c r="L1220" s="5">
        <f t="shared" si="3"/>
        <v>0.02685591039</v>
      </c>
      <c r="M1220" s="5">
        <f t="shared" si="4"/>
        <v>0.01791732195</v>
      </c>
      <c r="Q1220" s="5"/>
    </row>
    <row r="1221">
      <c r="A1221" s="4">
        <f>IFERROR(__xludf.DUMMYFUNCTION("""COMPUTED_VALUE"""),46057.66666666667)</f>
        <v>46057.66667</v>
      </c>
      <c r="B1221" s="1">
        <f>IFERROR(__xludf.DUMMYFUNCTION("""COMPUTED_VALUE"""),276.49)</f>
        <v>276.49</v>
      </c>
      <c r="C1221" s="4">
        <f>IFERROR(__xludf.DUMMYFUNCTION("""COMPUTED_VALUE"""),46057.66666666667)</f>
        <v>46057.66667</v>
      </c>
      <c r="D1221" s="1">
        <f>IFERROR(__xludf.DUMMYFUNCTION("""COMPUTED_VALUE"""),414.19)</f>
        <v>414.19</v>
      </c>
      <c r="E1221" s="4">
        <f>IFERROR(__xludf.DUMMYFUNCTION("""COMPUTED_VALUE"""),46057.66666666667)</f>
        <v>46057.66667</v>
      </c>
      <c r="F1221" s="1">
        <f>IFERROR(__xludf.DUMMYFUNCTION("""COMPUTED_VALUE"""),147.59)</f>
        <v>147.59</v>
      </c>
      <c r="G1221" s="4">
        <f>IFERROR(__xludf.DUMMYFUNCTION("""COMPUTED_VALUE"""),46057.66666666667)</f>
        <v>46057.66667</v>
      </c>
      <c r="H1221" s="1">
        <f>IFERROR(__xludf.DUMMYFUNCTION("""COMPUTED_VALUE"""),181.23)</f>
        <v>181.23</v>
      </c>
      <c r="I1221" s="5">
        <f t="shared" si="1"/>
        <v>-0.002097725053</v>
      </c>
      <c r="K1221" s="5">
        <f t="shared" si="2"/>
        <v>-0.0495424805</v>
      </c>
      <c r="L1221" s="5">
        <f t="shared" si="3"/>
        <v>-0.01023104546</v>
      </c>
      <c r="M1221" s="5">
        <f t="shared" si="4"/>
        <v>-0.01103570049</v>
      </c>
      <c r="Q1221" s="5"/>
    </row>
    <row r="1222">
      <c r="A1222" s="4">
        <f>IFERROR(__xludf.DUMMYFUNCTION("""COMPUTED_VALUE"""),46058.66666666667)</f>
        <v>46058.66667</v>
      </c>
      <c r="B1222" s="1">
        <f>IFERROR(__xludf.DUMMYFUNCTION("""COMPUTED_VALUE"""),275.91)</f>
        <v>275.91</v>
      </c>
      <c r="C1222" s="4">
        <f>IFERROR(__xludf.DUMMYFUNCTION("""COMPUTED_VALUE"""),46058.66666666667)</f>
        <v>46058.66667</v>
      </c>
      <c r="D1222" s="1">
        <f>IFERROR(__xludf.DUMMYFUNCTION("""COMPUTED_VALUE"""),393.67)</f>
        <v>393.67</v>
      </c>
      <c r="E1222" s="4">
        <f>IFERROR(__xludf.DUMMYFUNCTION("""COMPUTED_VALUE"""),46058.66666666667)</f>
        <v>46058.66667</v>
      </c>
      <c r="F1222" s="1">
        <f>IFERROR(__xludf.DUMMYFUNCTION("""COMPUTED_VALUE"""),146.08)</f>
        <v>146.08</v>
      </c>
      <c r="G1222" s="4">
        <f>IFERROR(__xludf.DUMMYFUNCTION("""COMPUTED_VALUE"""),46058.66666666667)</f>
        <v>46058.66667</v>
      </c>
      <c r="H1222" s="1">
        <f>IFERROR(__xludf.DUMMYFUNCTION("""COMPUTED_VALUE"""),179.23)</f>
        <v>179.23</v>
      </c>
      <c r="I1222" s="5">
        <f t="shared" si="1"/>
        <v>0.008009858287</v>
      </c>
      <c r="K1222" s="5">
        <f t="shared" si="2"/>
        <v>0.01897528387</v>
      </c>
      <c r="L1222" s="5">
        <f t="shared" si="3"/>
        <v>0.0203313253</v>
      </c>
      <c r="M1222" s="5">
        <f t="shared" si="4"/>
        <v>0.009094459633</v>
      </c>
      <c r="Q1222" s="5"/>
    </row>
    <row r="1223">
      <c r="A1223" s="4">
        <f>IFERROR(__xludf.DUMMYFUNCTION("""COMPUTED_VALUE"""),46059.66666666667)</f>
        <v>46059.66667</v>
      </c>
      <c r="B1223" s="1">
        <f>IFERROR(__xludf.DUMMYFUNCTION("""COMPUTED_VALUE"""),278.12)</f>
        <v>278.12</v>
      </c>
      <c r="C1223" s="4">
        <f>IFERROR(__xludf.DUMMYFUNCTION("""COMPUTED_VALUE"""),46059.66666666667)</f>
        <v>46059.66667</v>
      </c>
      <c r="D1223" s="1">
        <f>IFERROR(__xludf.DUMMYFUNCTION("""COMPUTED_VALUE"""),401.14)</f>
        <v>401.14</v>
      </c>
      <c r="E1223" s="4">
        <f>IFERROR(__xludf.DUMMYFUNCTION("""COMPUTED_VALUE"""),46059.66666666667)</f>
        <v>46059.66667</v>
      </c>
      <c r="F1223" s="1">
        <f>IFERROR(__xludf.DUMMYFUNCTION("""COMPUTED_VALUE"""),149.05)</f>
        <v>149.05</v>
      </c>
      <c r="G1223" s="4">
        <f>IFERROR(__xludf.DUMMYFUNCTION("""COMPUTED_VALUE"""),46059.66666666667)</f>
        <v>46059.66667</v>
      </c>
      <c r="H1223" s="1">
        <f>IFERROR(__xludf.DUMMYFUNCTION("""COMPUTED_VALUE"""),180.86)</f>
        <v>180.86</v>
      </c>
      <c r="I1223" s="5">
        <f t="shared" si="1"/>
        <v>-0.0125844959</v>
      </c>
      <c r="K1223" s="5">
        <f t="shared" si="2"/>
        <v>0.0310614748</v>
      </c>
      <c r="L1223" s="5">
        <f t="shared" si="3"/>
        <v>0.01449178128</v>
      </c>
      <c r="M1223" s="5">
        <f t="shared" si="4"/>
        <v>0.009620701095</v>
      </c>
      <c r="Q1223" s="5"/>
    </row>
    <row r="1224">
      <c r="A1224" s="4">
        <f>IFERROR(__xludf.DUMMYFUNCTION("""COMPUTED_VALUE"""),46062.66666666667)</f>
        <v>46062.66667</v>
      </c>
      <c r="B1224" s="1">
        <f>IFERROR(__xludf.DUMMYFUNCTION("""COMPUTED_VALUE"""),274.62)</f>
        <v>274.62</v>
      </c>
      <c r="C1224" s="4">
        <f>IFERROR(__xludf.DUMMYFUNCTION("""COMPUTED_VALUE"""),46062.66666666667)</f>
        <v>46062.66667</v>
      </c>
      <c r="D1224" s="1">
        <f>IFERROR(__xludf.DUMMYFUNCTION("""COMPUTED_VALUE"""),413.6)</f>
        <v>413.6</v>
      </c>
      <c r="E1224" s="4">
        <f>IFERROR(__xludf.DUMMYFUNCTION("""COMPUTED_VALUE"""),46062.66666666667)</f>
        <v>46062.66667</v>
      </c>
      <c r="F1224" s="1">
        <f>IFERROR(__xludf.DUMMYFUNCTION("""COMPUTED_VALUE"""),151.21)</f>
        <v>151.21</v>
      </c>
      <c r="G1224" s="4">
        <f>IFERROR(__xludf.DUMMYFUNCTION("""COMPUTED_VALUE"""),46062.66666666667)</f>
        <v>46062.66667</v>
      </c>
      <c r="H1224" s="1">
        <f>IFERROR(__xludf.DUMMYFUNCTION("""COMPUTED_VALUE"""),182.6)</f>
        <v>182.6</v>
      </c>
      <c r="I1224" s="5">
        <f t="shared" si="1"/>
        <v>-0.00342291166</v>
      </c>
      <c r="K1224" s="5">
        <f t="shared" si="2"/>
        <v>-0.0007978723404</v>
      </c>
      <c r="L1224" s="5">
        <f t="shared" si="3"/>
        <v>0.002513061305</v>
      </c>
      <c r="M1224" s="5">
        <f t="shared" si="4"/>
        <v>-0.001861993428</v>
      </c>
      <c r="Q1224" s="5"/>
    </row>
    <row r="1225">
      <c r="A1225" s="4">
        <f>IFERROR(__xludf.DUMMYFUNCTION("""COMPUTED_VALUE"""),46063.66666666667)</f>
        <v>46063.66667</v>
      </c>
      <c r="B1225" s="1">
        <f>IFERROR(__xludf.DUMMYFUNCTION("""COMPUTED_VALUE"""),273.68)</f>
        <v>273.68</v>
      </c>
      <c r="C1225" s="4">
        <f>IFERROR(__xludf.DUMMYFUNCTION("""COMPUTED_VALUE"""),46063.66666666667)</f>
        <v>46063.66667</v>
      </c>
      <c r="D1225" s="1">
        <f>IFERROR(__xludf.DUMMYFUNCTION("""COMPUTED_VALUE"""),413.27)</f>
        <v>413.27</v>
      </c>
      <c r="E1225" s="4">
        <f>IFERROR(__xludf.DUMMYFUNCTION("""COMPUTED_VALUE"""),46063.66666666667)</f>
        <v>46063.66667</v>
      </c>
      <c r="F1225" s="1">
        <f>IFERROR(__xludf.DUMMYFUNCTION("""COMPUTED_VALUE"""),151.59)</f>
        <v>151.59</v>
      </c>
      <c r="G1225" s="4">
        <f>IFERROR(__xludf.DUMMYFUNCTION("""COMPUTED_VALUE"""),46063.66666666667)</f>
        <v>46063.66667</v>
      </c>
      <c r="H1225" s="1">
        <f>IFERROR(__xludf.DUMMYFUNCTION("""COMPUTED_VALUE"""),182.26)</f>
        <v>182.26</v>
      </c>
      <c r="I1225" s="5">
        <f t="shared" si="1"/>
        <v>0.006650102309</v>
      </c>
      <c r="K1225" s="5">
        <f t="shared" si="2"/>
        <v>-0.02153555787</v>
      </c>
      <c r="L1225" s="5">
        <f t="shared" si="3"/>
        <v>0.0261890626</v>
      </c>
      <c r="M1225" s="5">
        <f t="shared" si="4"/>
        <v>0.01953253594</v>
      </c>
      <c r="Q1225" s="5"/>
    </row>
    <row r="1226">
      <c r="A1226" s="4">
        <f>IFERROR(__xludf.DUMMYFUNCTION("""COMPUTED_VALUE"""),46064.66666666667)</f>
        <v>46064.66667</v>
      </c>
      <c r="B1226" s="1">
        <f>IFERROR(__xludf.DUMMYFUNCTION("""COMPUTED_VALUE"""),275.5)</f>
        <v>275.5</v>
      </c>
      <c r="C1226" s="4">
        <f>IFERROR(__xludf.DUMMYFUNCTION("""COMPUTED_VALUE"""),46064.66666666667)</f>
        <v>46064.66667</v>
      </c>
      <c r="D1226" s="1">
        <f>IFERROR(__xludf.DUMMYFUNCTION("""COMPUTED_VALUE"""),404.37)</f>
        <v>404.37</v>
      </c>
      <c r="E1226" s="4">
        <f>IFERROR(__xludf.DUMMYFUNCTION("""COMPUTED_VALUE"""),46064.66666666667)</f>
        <v>46064.66667</v>
      </c>
      <c r="F1226" s="1">
        <f>IFERROR(__xludf.DUMMYFUNCTION("""COMPUTED_VALUE"""),155.56)</f>
        <v>155.56</v>
      </c>
      <c r="G1226" s="4">
        <f>IFERROR(__xludf.DUMMYFUNCTION("""COMPUTED_VALUE"""),46064.66666666667)</f>
        <v>46064.66667</v>
      </c>
      <c r="H1226" s="1">
        <f>IFERROR(__xludf.DUMMYFUNCTION("""COMPUTED_VALUE"""),185.82)</f>
        <v>185.82</v>
      </c>
      <c r="I1226" s="5">
        <f t="shared" si="1"/>
        <v>-0.04998185118</v>
      </c>
      <c r="K1226" s="5">
        <f t="shared" si="2"/>
        <v>-0.006256646141</v>
      </c>
      <c r="L1226" s="5">
        <f t="shared" si="3"/>
        <v>-0.03619182309</v>
      </c>
      <c r="M1226" s="5">
        <f t="shared" si="4"/>
        <v>-0.01840490798</v>
      </c>
      <c r="Q1226" s="5"/>
    </row>
    <row r="1227">
      <c r="A1227" s="4">
        <f>IFERROR(__xludf.DUMMYFUNCTION("""COMPUTED_VALUE"""),46065.66666666667)</f>
        <v>46065.66667</v>
      </c>
      <c r="B1227" s="1">
        <f>IFERROR(__xludf.DUMMYFUNCTION("""COMPUTED_VALUE"""),261.73)</f>
        <v>261.73</v>
      </c>
      <c r="C1227" s="4">
        <f>IFERROR(__xludf.DUMMYFUNCTION("""COMPUTED_VALUE"""),46065.66666666667)</f>
        <v>46065.66667</v>
      </c>
      <c r="D1227" s="1">
        <f>IFERROR(__xludf.DUMMYFUNCTION("""COMPUTED_VALUE"""),401.84)</f>
        <v>401.84</v>
      </c>
      <c r="E1227" s="4">
        <f>IFERROR(__xludf.DUMMYFUNCTION("""COMPUTED_VALUE"""),46065.66666666667)</f>
        <v>46065.66667</v>
      </c>
      <c r="F1227" s="1">
        <f>IFERROR(__xludf.DUMMYFUNCTION("""COMPUTED_VALUE"""),149.93)</f>
        <v>149.93</v>
      </c>
      <c r="G1227" s="4">
        <f>IFERROR(__xludf.DUMMYFUNCTION("""COMPUTED_VALUE"""),46065.66666666667)</f>
        <v>46065.66667</v>
      </c>
      <c r="H1227" s="1">
        <f>IFERROR(__xludf.DUMMYFUNCTION("""COMPUTED_VALUE"""),182.4)</f>
        <v>182.4</v>
      </c>
      <c r="I1227" s="5">
        <f t="shared" si="1"/>
        <v>-0.02273335116</v>
      </c>
      <c r="K1227" s="5">
        <f t="shared" si="2"/>
        <v>-0.001294047382</v>
      </c>
      <c r="L1227" s="5">
        <f t="shared" si="3"/>
        <v>-0.009871273261</v>
      </c>
      <c r="M1227" s="5">
        <f t="shared" si="4"/>
        <v>0.007346491228</v>
      </c>
      <c r="Q1227" s="5"/>
    </row>
    <row r="1228">
      <c r="A1228" s="4">
        <f>IFERROR(__xludf.DUMMYFUNCTION("""COMPUTED_VALUE"""),46066.66666666667)</f>
        <v>46066.66667</v>
      </c>
      <c r="B1228" s="1">
        <f>IFERROR(__xludf.DUMMYFUNCTION("""COMPUTED_VALUE"""),255.78)</f>
        <v>255.78</v>
      </c>
      <c r="C1228" s="4">
        <f>IFERROR(__xludf.DUMMYFUNCTION("""COMPUTED_VALUE"""),46066.66666666667)</f>
        <v>46066.66667</v>
      </c>
      <c r="D1228" s="1">
        <f>IFERROR(__xludf.DUMMYFUNCTION("""COMPUTED_VALUE"""),401.32)</f>
        <v>401.32</v>
      </c>
      <c r="E1228" s="4">
        <f>IFERROR(__xludf.DUMMYFUNCTION("""COMPUTED_VALUE"""),46066.66666666667)</f>
        <v>46066.66667</v>
      </c>
      <c r="F1228" s="1">
        <f>IFERROR(__xludf.DUMMYFUNCTION("""COMPUTED_VALUE"""),148.45)</f>
        <v>148.45</v>
      </c>
      <c r="G1228" s="4">
        <f>IFERROR(__xludf.DUMMYFUNCTION("""COMPUTED_VALUE"""),46066.66666666667)</f>
        <v>46066.66667</v>
      </c>
      <c r="H1228" s="1">
        <f>IFERROR(__xludf.DUMMYFUNCTION("""COMPUTED_VALUE"""),183.74)</f>
        <v>183.74</v>
      </c>
      <c r="I1228" s="5">
        <f t="shared" si="1"/>
        <v>0.03166783955</v>
      </c>
      <c r="K1228" s="5">
        <f t="shared" si="2"/>
        <v>-0.01111332602</v>
      </c>
      <c r="L1228" s="5">
        <f t="shared" si="3"/>
        <v>-0.01522398114</v>
      </c>
      <c r="M1228" s="5">
        <f t="shared" si="4"/>
        <v>-0.01736148906</v>
      </c>
      <c r="Q1228" s="5"/>
    </row>
    <row r="1229">
      <c r="A1229" s="4">
        <f>IFERROR(__xludf.DUMMYFUNCTION("""COMPUTED_VALUE"""),46070.66666666667)</f>
        <v>46070.66667</v>
      </c>
      <c r="B1229" s="1">
        <f>IFERROR(__xludf.DUMMYFUNCTION("""COMPUTED_VALUE"""),263.88)</f>
        <v>263.88</v>
      </c>
      <c r="C1229" s="4">
        <f>IFERROR(__xludf.DUMMYFUNCTION("""COMPUTED_VALUE"""),46070.66666666667)</f>
        <v>46070.66667</v>
      </c>
      <c r="D1229" s="1">
        <f>IFERROR(__xludf.DUMMYFUNCTION("""COMPUTED_VALUE"""),396.86)</f>
        <v>396.86</v>
      </c>
      <c r="E1229" s="4">
        <f>IFERROR(__xludf.DUMMYFUNCTION("""COMPUTED_VALUE"""),46070.66666666667)</f>
        <v>46070.66667</v>
      </c>
      <c r="F1229" s="1">
        <f>IFERROR(__xludf.DUMMYFUNCTION("""COMPUTED_VALUE"""),146.19)</f>
        <v>146.19</v>
      </c>
      <c r="G1229" s="4">
        <f>IFERROR(__xludf.DUMMYFUNCTION("""COMPUTED_VALUE"""),46070.66666666667)</f>
        <v>46070.66667</v>
      </c>
      <c r="H1229" s="1">
        <f>IFERROR(__xludf.DUMMYFUNCTION("""COMPUTED_VALUE"""),180.55)</f>
        <v>180.55</v>
      </c>
      <c r="I1229" s="5">
        <f t="shared" si="1"/>
        <v>0.001781112627</v>
      </c>
      <c r="K1229" s="5">
        <f t="shared" si="2"/>
        <v>0.006904197954</v>
      </c>
      <c r="L1229" s="5">
        <f t="shared" si="3"/>
        <v>0.03071345509</v>
      </c>
      <c r="M1229" s="5">
        <f t="shared" si="4"/>
        <v>0.0183882581</v>
      </c>
      <c r="Q1229" s="5"/>
    </row>
    <row r="1230">
      <c r="A1230" s="4">
        <f>IFERROR(__xludf.DUMMYFUNCTION("""COMPUTED_VALUE"""),46071.66666666667)</f>
        <v>46071.66667</v>
      </c>
      <c r="B1230" s="1">
        <f>IFERROR(__xludf.DUMMYFUNCTION("""COMPUTED_VALUE"""),264.35)</f>
        <v>264.35</v>
      </c>
      <c r="C1230" s="4">
        <f>IFERROR(__xludf.DUMMYFUNCTION("""COMPUTED_VALUE"""),46071.66666666667)</f>
        <v>46071.66667</v>
      </c>
      <c r="D1230" s="1">
        <f>IFERROR(__xludf.DUMMYFUNCTION("""COMPUTED_VALUE"""),399.6)</f>
        <v>399.6</v>
      </c>
      <c r="E1230" s="4">
        <f>IFERROR(__xludf.DUMMYFUNCTION("""COMPUTED_VALUE"""),46071.66666666667)</f>
        <v>46071.66667</v>
      </c>
      <c r="F1230" s="1">
        <f>IFERROR(__xludf.DUMMYFUNCTION("""COMPUTED_VALUE"""),150.68)</f>
        <v>150.68</v>
      </c>
      <c r="G1230" s="4">
        <f>IFERROR(__xludf.DUMMYFUNCTION("""COMPUTED_VALUE"""),46071.66666666667)</f>
        <v>46071.66667</v>
      </c>
      <c r="H1230" s="1">
        <f>IFERROR(__xludf.DUMMYFUNCTION("""COMPUTED_VALUE"""),183.87)</f>
        <v>183.87</v>
      </c>
      <c r="I1230" s="5">
        <f t="shared" si="1"/>
        <v>-0.01426139588</v>
      </c>
      <c r="K1230" s="5">
        <f t="shared" si="2"/>
        <v>-0.002852852853</v>
      </c>
      <c r="L1230" s="5">
        <f t="shared" si="3"/>
        <v>0.001924608442</v>
      </c>
      <c r="M1230" s="5">
        <f t="shared" si="4"/>
        <v>0.004949148855</v>
      </c>
      <c r="Q1230" s="5"/>
    </row>
    <row r="1231">
      <c r="A1231" s="4">
        <f>IFERROR(__xludf.DUMMYFUNCTION("""COMPUTED_VALUE"""),46072.66666666667)</f>
        <v>46072.66667</v>
      </c>
      <c r="B1231" s="1">
        <f>IFERROR(__xludf.DUMMYFUNCTION("""COMPUTED_VALUE"""),260.58)</f>
        <v>260.58</v>
      </c>
      <c r="C1231" s="4">
        <f>IFERROR(__xludf.DUMMYFUNCTION("""COMPUTED_VALUE"""),46072.66666666667)</f>
        <v>46072.66667</v>
      </c>
      <c r="D1231" s="1">
        <f>IFERROR(__xludf.DUMMYFUNCTION("""COMPUTED_VALUE"""),398.46)</f>
        <v>398.46</v>
      </c>
      <c r="E1231" s="4">
        <f>IFERROR(__xludf.DUMMYFUNCTION("""COMPUTED_VALUE"""),46072.66666666667)</f>
        <v>46072.66667</v>
      </c>
      <c r="F1231" s="1">
        <f>IFERROR(__xludf.DUMMYFUNCTION("""COMPUTED_VALUE"""),150.97)</f>
        <v>150.97</v>
      </c>
      <c r="G1231" s="4">
        <f>IFERROR(__xludf.DUMMYFUNCTION("""COMPUTED_VALUE"""),46072.66666666667)</f>
        <v>46072.66667</v>
      </c>
      <c r="H1231" s="1">
        <f>IFERROR(__xludf.DUMMYFUNCTION("""COMPUTED_VALUE"""),184.78)</f>
        <v>184.78</v>
      </c>
      <c r="I1231" s="5">
        <f t="shared" si="1"/>
        <v>0.01535037225</v>
      </c>
      <c r="K1231" s="5">
        <f t="shared" si="2"/>
        <v>-0.003086884505</v>
      </c>
      <c r="L1231" s="5">
        <f t="shared" si="3"/>
        <v>-0.02444194211</v>
      </c>
      <c r="M1231" s="5">
        <f t="shared" si="4"/>
        <v>-0.004600064942</v>
      </c>
      <c r="Q1231" s="5"/>
    </row>
    <row r="1232">
      <c r="A1232" s="4">
        <f>IFERROR(__xludf.DUMMYFUNCTION("""COMPUTED_VALUE"""),46073.66666666667)</f>
        <v>46073.66667</v>
      </c>
      <c r="B1232" s="1">
        <f>IFERROR(__xludf.DUMMYFUNCTION("""COMPUTED_VALUE"""),264.58)</f>
        <v>264.58</v>
      </c>
      <c r="C1232" s="4">
        <f>IFERROR(__xludf.DUMMYFUNCTION("""COMPUTED_VALUE"""),46073.66666666667)</f>
        <v>46073.66667</v>
      </c>
      <c r="D1232" s="1">
        <f>IFERROR(__xludf.DUMMYFUNCTION("""COMPUTED_VALUE"""),397.23)</f>
        <v>397.23</v>
      </c>
      <c r="E1232" s="4">
        <f>IFERROR(__xludf.DUMMYFUNCTION("""COMPUTED_VALUE"""),46073.66666666667)</f>
        <v>46073.66667</v>
      </c>
      <c r="F1232" s="1">
        <f>IFERROR(__xludf.DUMMYFUNCTION("""COMPUTED_VALUE"""),147.28)</f>
        <v>147.28</v>
      </c>
      <c r="G1232" s="4">
        <f>IFERROR(__xludf.DUMMYFUNCTION("""COMPUTED_VALUE"""),46073.66666666667)</f>
        <v>46073.66667</v>
      </c>
      <c r="H1232" s="1">
        <f>IFERROR(__xludf.DUMMYFUNCTION("""COMPUTED_VALUE"""),183.93)</f>
        <v>183.93</v>
      </c>
      <c r="I1232" s="5">
        <f t="shared" si="1"/>
        <v>0.006047320281</v>
      </c>
      <c r="K1232" s="5">
        <f t="shared" si="2"/>
        <v>-0.03212244795</v>
      </c>
      <c r="L1232" s="5">
        <f t="shared" si="3"/>
        <v>0.02362846279</v>
      </c>
      <c r="M1232" s="5">
        <f t="shared" si="4"/>
        <v>0.005328113956</v>
      </c>
      <c r="Q1232" s="5"/>
    </row>
    <row r="1233">
      <c r="A1233" s="4">
        <f>IFERROR(__xludf.DUMMYFUNCTION("""COMPUTED_VALUE"""),46076.66666666667)</f>
        <v>46076.66667</v>
      </c>
      <c r="B1233" s="1">
        <f>IFERROR(__xludf.DUMMYFUNCTION("""COMPUTED_VALUE"""),266.18)</f>
        <v>266.18</v>
      </c>
      <c r="C1233" s="4">
        <f>IFERROR(__xludf.DUMMYFUNCTION("""COMPUTED_VALUE"""),46076.66666666667)</f>
        <v>46076.66667</v>
      </c>
      <c r="D1233" s="1">
        <f>IFERROR(__xludf.DUMMYFUNCTION("""COMPUTED_VALUE"""),384.47)</f>
        <v>384.47</v>
      </c>
      <c r="E1233" s="4">
        <f>IFERROR(__xludf.DUMMYFUNCTION("""COMPUTED_VALUE"""),46076.66666666667)</f>
        <v>46076.66667</v>
      </c>
      <c r="F1233" s="1">
        <f>IFERROR(__xludf.DUMMYFUNCTION("""COMPUTED_VALUE"""),150.76)</f>
        <v>150.76</v>
      </c>
      <c r="G1233" s="4">
        <f>IFERROR(__xludf.DUMMYFUNCTION("""COMPUTED_VALUE"""),46076.66666666667)</f>
        <v>46076.66667</v>
      </c>
      <c r="H1233" s="1">
        <f>IFERROR(__xludf.DUMMYFUNCTION("""COMPUTED_VALUE"""),184.91)</f>
        <v>184.91</v>
      </c>
      <c r="I1233" s="5">
        <f t="shared" si="1"/>
        <v>0.02239086333</v>
      </c>
      <c r="K1233" s="5">
        <f t="shared" si="2"/>
        <v>0.01178245377</v>
      </c>
      <c r="L1233" s="5">
        <f t="shared" si="3"/>
        <v>-0.00994958875</v>
      </c>
      <c r="M1233" s="5">
        <f t="shared" si="4"/>
        <v>0.002325455627</v>
      </c>
      <c r="Q1233" s="5"/>
    </row>
    <row r="1234">
      <c r="A1234" s="4">
        <f>IFERROR(__xludf.DUMMYFUNCTION("""COMPUTED_VALUE"""),46077.66666666667)</f>
        <v>46077.66667</v>
      </c>
      <c r="B1234" s="1">
        <f>IFERROR(__xludf.DUMMYFUNCTION("""COMPUTED_VALUE"""),272.14)</f>
        <v>272.14</v>
      </c>
      <c r="C1234" s="4">
        <f>IFERROR(__xludf.DUMMYFUNCTION("""COMPUTED_VALUE"""),46077.66666666667)</f>
        <v>46077.66667</v>
      </c>
      <c r="D1234" s="1">
        <f>IFERROR(__xludf.DUMMYFUNCTION("""COMPUTED_VALUE"""),389.0)</f>
        <v>389</v>
      </c>
      <c r="E1234" s="4">
        <f>IFERROR(__xludf.DUMMYFUNCTION("""COMPUTED_VALUE"""),46077.66666666667)</f>
        <v>46077.66667</v>
      </c>
      <c r="F1234" s="1">
        <f>IFERROR(__xludf.DUMMYFUNCTION("""COMPUTED_VALUE"""),149.26)</f>
        <v>149.26</v>
      </c>
      <c r="G1234" s="4">
        <f>IFERROR(__xludf.DUMMYFUNCTION("""COMPUTED_VALUE"""),46077.66666666667)</f>
        <v>46077.66667</v>
      </c>
      <c r="H1234" s="1">
        <f>IFERROR(__xludf.DUMMYFUNCTION("""COMPUTED_VALUE"""),185.34)</f>
        <v>185.34</v>
      </c>
      <c r="I1234" s="5">
        <f t="shared" si="1"/>
        <v>0.007679870655</v>
      </c>
      <c r="K1234" s="5">
        <f t="shared" si="2"/>
        <v>0.02982005141</v>
      </c>
      <c r="L1234" s="5">
        <f t="shared" si="3"/>
        <v>-0.001339943722</v>
      </c>
      <c r="M1234" s="5">
        <f t="shared" si="4"/>
        <v>-0.006042948095</v>
      </c>
      <c r="Q1234" s="5"/>
    </row>
    <row r="1235">
      <c r="A1235" s="4">
        <f>IFERROR(__xludf.DUMMYFUNCTION("""COMPUTED_VALUE"""),46078.66666666667)</f>
        <v>46078.66667</v>
      </c>
      <c r="B1235" s="1">
        <f>IFERROR(__xludf.DUMMYFUNCTION("""COMPUTED_VALUE"""),274.23)</f>
        <v>274.23</v>
      </c>
      <c r="C1235" s="4">
        <f>IFERROR(__xludf.DUMMYFUNCTION("""COMPUTED_VALUE"""),46078.66666666667)</f>
        <v>46078.66667</v>
      </c>
      <c r="D1235" s="1">
        <f>IFERROR(__xludf.DUMMYFUNCTION("""COMPUTED_VALUE"""),400.6)</f>
        <v>400.6</v>
      </c>
      <c r="E1235" s="4">
        <f>IFERROR(__xludf.DUMMYFUNCTION("""COMPUTED_VALUE"""),46078.66666666667)</f>
        <v>46078.66667</v>
      </c>
      <c r="F1235" s="1">
        <f>IFERROR(__xludf.DUMMYFUNCTION("""COMPUTED_VALUE"""),149.06)</f>
        <v>149.06</v>
      </c>
      <c r="G1235" s="4">
        <f>IFERROR(__xludf.DUMMYFUNCTION("""COMPUTED_VALUE"""),46078.66666666667)</f>
        <v>46078.66667</v>
      </c>
      <c r="H1235" s="1">
        <f>IFERROR(__xludf.DUMMYFUNCTION("""COMPUTED_VALUE"""),184.22)</f>
        <v>184.22</v>
      </c>
      <c r="I1235" s="5">
        <f t="shared" si="1"/>
        <v>-0.004667614776</v>
      </c>
      <c r="K1235" s="5">
        <f t="shared" si="2"/>
        <v>0.002795806291</v>
      </c>
      <c r="L1235" s="5">
        <f t="shared" si="3"/>
        <v>-0.003488528109</v>
      </c>
      <c r="M1235" s="5">
        <f t="shared" si="4"/>
        <v>-0.0003256975356</v>
      </c>
      <c r="Q1235" s="5"/>
    </row>
    <row r="1236">
      <c r="A1236" s="4">
        <f>IFERROR(__xludf.DUMMYFUNCTION("""COMPUTED_VALUE"""),46079.66666666667)</f>
        <v>46079.66667</v>
      </c>
      <c r="B1236" s="1">
        <f>IFERROR(__xludf.DUMMYFUNCTION("""COMPUTED_VALUE"""),272.95)</f>
        <v>272.95</v>
      </c>
      <c r="C1236" s="4">
        <f>IFERROR(__xludf.DUMMYFUNCTION("""COMPUTED_VALUE"""),46079.66666666667)</f>
        <v>46079.66667</v>
      </c>
      <c r="D1236" s="1">
        <f>IFERROR(__xludf.DUMMYFUNCTION("""COMPUTED_VALUE"""),401.72)</f>
        <v>401.72</v>
      </c>
      <c r="E1236" s="4">
        <f>IFERROR(__xludf.DUMMYFUNCTION("""COMPUTED_VALUE"""),46079.66666666667)</f>
        <v>46079.66667</v>
      </c>
      <c r="F1236" s="1">
        <f>IFERROR(__xludf.DUMMYFUNCTION("""COMPUTED_VALUE"""),148.54)</f>
        <v>148.54</v>
      </c>
      <c r="G1236" s="4">
        <f>IFERROR(__xludf.DUMMYFUNCTION("""COMPUTED_VALUE"""),46079.66666666667)</f>
        <v>46079.66667</v>
      </c>
      <c r="H1236" s="1">
        <f>IFERROR(__xludf.DUMMYFUNCTION("""COMPUTED_VALUE"""),184.16)</f>
        <v>184.16</v>
      </c>
      <c r="I1236" s="5">
        <f t="shared" si="1"/>
        <v>-0.03213042682</v>
      </c>
      <c r="K1236" s="5">
        <f t="shared" si="2"/>
        <v>-0.02235387832</v>
      </c>
      <c r="L1236" s="5">
        <f t="shared" si="3"/>
        <v>0.02665948566</v>
      </c>
      <c r="M1236" s="5">
        <f t="shared" si="4"/>
        <v>0.01411815812</v>
      </c>
      <c r="Q1236" s="5"/>
    </row>
    <row r="1237">
      <c r="A1237" s="4">
        <f>IFERROR(__xludf.DUMMYFUNCTION("""COMPUTED_VALUE"""),46080.66666666667)</f>
        <v>46080.66667</v>
      </c>
      <c r="B1237" s="1">
        <f>IFERROR(__xludf.DUMMYFUNCTION("""COMPUTED_VALUE"""),264.18)</f>
        <v>264.18</v>
      </c>
      <c r="C1237" s="4">
        <f>IFERROR(__xludf.DUMMYFUNCTION("""COMPUTED_VALUE"""),46080.66666666667)</f>
        <v>46080.66667</v>
      </c>
      <c r="D1237" s="1">
        <f>IFERROR(__xludf.DUMMYFUNCTION("""COMPUTED_VALUE"""),392.74)</f>
        <v>392.74</v>
      </c>
      <c r="E1237" s="4">
        <f>IFERROR(__xludf.DUMMYFUNCTION("""COMPUTED_VALUE"""),46080.66666666667)</f>
        <v>46080.66667</v>
      </c>
      <c r="F1237" s="1">
        <f>IFERROR(__xludf.DUMMYFUNCTION("""COMPUTED_VALUE"""),152.5)</f>
        <v>152.5</v>
      </c>
      <c r="G1237" s="4">
        <f>IFERROR(__xludf.DUMMYFUNCTION("""COMPUTED_VALUE"""),46080.66666666667)</f>
        <v>46080.66667</v>
      </c>
      <c r="H1237" s="1">
        <f>IFERROR(__xludf.DUMMYFUNCTION("""COMPUTED_VALUE"""),186.76)</f>
        <v>186.76</v>
      </c>
      <c r="I1237" s="5">
        <f t="shared" si="1"/>
        <v>0.002044060868</v>
      </c>
      <c r="K1237" s="5">
        <f t="shared" si="2"/>
        <v>0.01479350206</v>
      </c>
      <c r="L1237" s="5">
        <f t="shared" si="3"/>
        <v>0.01127868852</v>
      </c>
      <c r="M1237" s="5">
        <f t="shared" si="4"/>
        <v>0.01520668237</v>
      </c>
      <c r="Q1237" s="5"/>
    </row>
    <row r="1238">
      <c r="A1238" s="4">
        <f>IFERROR(__xludf.DUMMYFUNCTION("""COMPUTED_VALUE"""),46083.66666666667)</f>
        <v>46083.66667</v>
      </c>
      <c r="B1238" s="1">
        <f>IFERROR(__xludf.DUMMYFUNCTION("""COMPUTED_VALUE"""),264.72)</f>
        <v>264.72</v>
      </c>
      <c r="C1238" s="4">
        <f>IFERROR(__xludf.DUMMYFUNCTION("""COMPUTED_VALUE"""),46083.66666666667)</f>
        <v>46083.66667</v>
      </c>
      <c r="D1238" s="1">
        <f>IFERROR(__xludf.DUMMYFUNCTION("""COMPUTED_VALUE"""),398.55)</f>
        <v>398.55</v>
      </c>
      <c r="E1238" s="4">
        <f>IFERROR(__xludf.DUMMYFUNCTION("""COMPUTED_VALUE"""),46083.66666666667)</f>
        <v>46083.66667</v>
      </c>
      <c r="F1238" s="1">
        <f>IFERROR(__xludf.DUMMYFUNCTION("""COMPUTED_VALUE"""),154.22)</f>
        <v>154.22</v>
      </c>
      <c r="G1238" s="4">
        <f>IFERROR(__xludf.DUMMYFUNCTION("""COMPUTED_VALUE"""),46083.66666666667)</f>
        <v>46083.66667</v>
      </c>
      <c r="H1238" s="1">
        <f>IFERROR(__xludf.DUMMYFUNCTION("""COMPUTED_VALUE"""),189.6)</f>
        <v>189.6</v>
      </c>
      <c r="I1238" s="5">
        <f t="shared" si="1"/>
        <v>-0.003664249018</v>
      </c>
      <c r="K1238" s="5">
        <f t="shared" si="2"/>
        <v>0.01349893363</v>
      </c>
      <c r="L1238" s="5">
        <f t="shared" si="3"/>
        <v>-0.01549734146</v>
      </c>
      <c r="M1238" s="5">
        <f t="shared" si="4"/>
        <v>-0.004377637131</v>
      </c>
      <c r="Q1238" s="5"/>
    </row>
    <row r="1239">
      <c r="A1239" s="4">
        <f>IFERROR(__xludf.DUMMYFUNCTION("""COMPUTED_VALUE"""),46084.66666666667)</f>
        <v>46084.66667</v>
      </c>
      <c r="B1239" s="1">
        <f>IFERROR(__xludf.DUMMYFUNCTION("""COMPUTED_VALUE"""),263.75)</f>
        <v>263.75</v>
      </c>
      <c r="C1239" s="4">
        <f>IFERROR(__xludf.DUMMYFUNCTION("""COMPUTED_VALUE"""),46084.66666666667)</f>
        <v>46084.66667</v>
      </c>
      <c r="D1239" s="1">
        <f>IFERROR(__xludf.DUMMYFUNCTION("""COMPUTED_VALUE"""),403.93)</f>
        <v>403.93</v>
      </c>
      <c r="E1239" s="4">
        <f>IFERROR(__xludf.DUMMYFUNCTION("""COMPUTED_VALUE"""),46084.66666666667)</f>
        <v>46084.66667</v>
      </c>
      <c r="F1239" s="1">
        <f>IFERROR(__xludf.DUMMYFUNCTION("""COMPUTED_VALUE"""),151.83)</f>
        <v>151.83</v>
      </c>
      <c r="G1239" s="4">
        <f>IFERROR(__xludf.DUMMYFUNCTION("""COMPUTED_VALUE"""),46084.66666666667)</f>
        <v>46084.66667</v>
      </c>
      <c r="H1239" s="1">
        <f>IFERROR(__xludf.DUMMYFUNCTION("""COMPUTED_VALUE"""),188.77)</f>
        <v>188.77</v>
      </c>
      <c r="I1239" s="5">
        <f t="shared" si="1"/>
        <v>-0.004663507109</v>
      </c>
      <c r="K1239" s="5">
        <f t="shared" si="2"/>
        <v>0.003144109128</v>
      </c>
      <c r="L1239" s="5">
        <f t="shared" si="3"/>
        <v>-0.01323849042</v>
      </c>
      <c r="M1239" s="5">
        <f t="shared" si="4"/>
        <v>-0.01451501828</v>
      </c>
      <c r="Q1239" s="5"/>
    </row>
    <row r="1240">
      <c r="A1240" s="4">
        <f>IFERROR(__xludf.DUMMYFUNCTION("""COMPUTED_VALUE"""),46085.66666666667)</f>
        <v>46085.66667</v>
      </c>
      <c r="B1240" s="1">
        <f>IFERROR(__xludf.DUMMYFUNCTION("""COMPUTED_VALUE"""),262.52)</f>
        <v>262.52</v>
      </c>
      <c r="C1240" s="4">
        <f>IFERROR(__xludf.DUMMYFUNCTION("""COMPUTED_VALUE"""),46085.66666666667)</f>
        <v>46085.66667</v>
      </c>
      <c r="D1240" s="1">
        <f>IFERROR(__xludf.DUMMYFUNCTION("""COMPUTED_VALUE"""),405.2)</f>
        <v>405.2</v>
      </c>
      <c r="E1240" s="4">
        <f>IFERROR(__xludf.DUMMYFUNCTION("""COMPUTED_VALUE"""),46085.66666666667)</f>
        <v>46085.66667</v>
      </c>
      <c r="F1240" s="1">
        <f>IFERROR(__xludf.DUMMYFUNCTION("""COMPUTED_VALUE"""),149.82)</f>
        <v>149.82</v>
      </c>
      <c r="G1240" s="4">
        <f>IFERROR(__xludf.DUMMYFUNCTION("""COMPUTED_VALUE"""),46085.66666666667)</f>
        <v>46085.66667</v>
      </c>
      <c r="H1240" s="1">
        <f>IFERROR(__xludf.DUMMYFUNCTION("""COMPUTED_VALUE"""),186.03)</f>
        <v>186.03</v>
      </c>
      <c r="I1240" s="5">
        <f t="shared" si="1"/>
        <v>-0.008494590888</v>
      </c>
      <c r="K1240" s="5">
        <f t="shared" si="2"/>
        <v>0.01352418559</v>
      </c>
      <c r="L1240" s="5">
        <f t="shared" si="3"/>
        <v>0.006274195702</v>
      </c>
      <c r="M1240" s="5">
        <f t="shared" si="4"/>
        <v>0.02080309627</v>
      </c>
      <c r="Q1240" s="5"/>
    </row>
    <row r="1241">
      <c r="A1241" s="4">
        <f>IFERROR(__xludf.DUMMYFUNCTION("""COMPUTED_VALUE"""),46086.66666666667)</f>
        <v>46086.66667</v>
      </c>
      <c r="B1241" s="1">
        <f>IFERROR(__xludf.DUMMYFUNCTION("""COMPUTED_VALUE"""),260.29)</f>
        <v>260.29</v>
      </c>
      <c r="C1241" s="4">
        <f>IFERROR(__xludf.DUMMYFUNCTION("""COMPUTED_VALUE"""),46086.66666666667)</f>
        <v>46086.66667</v>
      </c>
      <c r="D1241" s="1">
        <f>IFERROR(__xludf.DUMMYFUNCTION("""COMPUTED_VALUE"""),410.68)</f>
        <v>410.68</v>
      </c>
      <c r="E1241" s="4">
        <f>IFERROR(__xludf.DUMMYFUNCTION("""COMPUTED_VALUE"""),46086.66666666667)</f>
        <v>46086.66667</v>
      </c>
      <c r="F1241" s="1">
        <f>IFERROR(__xludf.DUMMYFUNCTION("""COMPUTED_VALUE"""),150.76)</f>
        <v>150.76</v>
      </c>
      <c r="G1241" s="4">
        <f>IFERROR(__xludf.DUMMYFUNCTION("""COMPUTED_VALUE"""),46086.66666666667)</f>
        <v>46086.66667</v>
      </c>
      <c r="H1241" s="1">
        <f>IFERROR(__xludf.DUMMYFUNCTION("""COMPUTED_VALUE"""),189.9)</f>
        <v>189.9</v>
      </c>
      <c r="I1241" s="5">
        <f t="shared" si="1"/>
        <v>-0.01087248838</v>
      </c>
      <c r="K1241" s="5">
        <f t="shared" si="2"/>
        <v>-0.004188175709</v>
      </c>
      <c r="L1241" s="5">
        <f t="shared" si="3"/>
        <v>0.002984876625</v>
      </c>
      <c r="M1241" s="5">
        <f t="shared" si="4"/>
        <v>0.0002106371775</v>
      </c>
      <c r="Q1241" s="5"/>
    </row>
    <row r="1242">
      <c r="A1242" s="4">
        <f>IFERROR(__xludf.DUMMYFUNCTION("""COMPUTED_VALUE"""),46087.66666666667)</f>
        <v>46087.66667</v>
      </c>
      <c r="B1242" s="1">
        <f>IFERROR(__xludf.DUMMYFUNCTION("""COMPUTED_VALUE"""),257.46)</f>
        <v>257.46</v>
      </c>
      <c r="C1242" s="4">
        <f>IFERROR(__xludf.DUMMYFUNCTION("""COMPUTED_VALUE"""),46087.66666666667)</f>
        <v>46087.66667</v>
      </c>
      <c r="D1242" s="1">
        <f>IFERROR(__xludf.DUMMYFUNCTION("""COMPUTED_VALUE"""),408.96)</f>
        <v>408.96</v>
      </c>
      <c r="E1242" s="4">
        <f>IFERROR(__xludf.DUMMYFUNCTION("""COMPUTED_VALUE"""),46087.66666666667)</f>
        <v>46087.66667</v>
      </c>
      <c r="F1242" s="1">
        <f>IFERROR(__xludf.DUMMYFUNCTION("""COMPUTED_VALUE"""),151.21)</f>
        <v>151.21</v>
      </c>
      <c r="G1242" s="4">
        <f>IFERROR(__xludf.DUMMYFUNCTION("""COMPUTED_VALUE"""),46087.66666666667)</f>
        <v>46087.66667</v>
      </c>
      <c r="H1242" s="1">
        <f>IFERROR(__xludf.DUMMYFUNCTION("""COMPUTED_VALUE"""),189.94)</f>
        <v>189.94</v>
      </c>
      <c r="I1242" s="5">
        <f t="shared" si="1"/>
        <v>0.009399518372</v>
      </c>
      <c r="K1242" s="5">
        <f t="shared" si="2"/>
        <v>0.001100352113</v>
      </c>
      <c r="L1242" s="5">
        <f t="shared" si="3"/>
        <v>-0.005092255803</v>
      </c>
      <c r="M1242" s="5">
        <f t="shared" si="4"/>
        <v>-0.002632410235</v>
      </c>
      <c r="Q1242" s="5"/>
    </row>
    <row r="1243">
      <c r="A1243" s="4">
        <f>IFERROR(__xludf.DUMMYFUNCTION("""COMPUTED_VALUE"""),46090.66666666667)</f>
        <v>46090.66667</v>
      </c>
      <c r="B1243" s="1">
        <f>IFERROR(__xludf.DUMMYFUNCTION("""COMPUTED_VALUE"""),259.88)</f>
        <v>259.88</v>
      </c>
      <c r="C1243" s="4">
        <f>IFERROR(__xludf.DUMMYFUNCTION("""COMPUTED_VALUE"""),46090.66666666667)</f>
        <v>46090.66667</v>
      </c>
      <c r="D1243" s="1">
        <f>IFERROR(__xludf.DUMMYFUNCTION("""COMPUTED_VALUE"""),409.41)</f>
        <v>409.41</v>
      </c>
      <c r="E1243" s="4">
        <f>IFERROR(__xludf.DUMMYFUNCTION("""COMPUTED_VALUE"""),46090.66666666667)</f>
        <v>46090.66667</v>
      </c>
      <c r="F1243" s="1">
        <f>IFERROR(__xludf.DUMMYFUNCTION("""COMPUTED_VALUE"""),150.44)</f>
        <v>150.44</v>
      </c>
      <c r="G1243" s="4">
        <f>IFERROR(__xludf.DUMMYFUNCTION("""COMPUTED_VALUE"""),46090.66666666667)</f>
        <v>46090.66667</v>
      </c>
      <c r="H1243" s="1">
        <f>IFERROR(__xludf.DUMMYFUNCTION("""COMPUTED_VALUE"""),189.44)</f>
        <v>189.44</v>
      </c>
      <c r="I1243" s="5">
        <f t="shared" si="1"/>
        <v>0.003655533323</v>
      </c>
      <c r="K1243" s="5">
        <f t="shared" si="2"/>
        <v>-0.008915268313</v>
      </c>
      <c r="L1243" s="5">
        <f t="shared" si="3"/>
        <v>-0.01535495879</v>
      </c>
      <c r="M1243" s="5">
        <f t="shared" si="4"/>
        <v>-0.01662795608</v>
      </c>
      <c r="Q1243" s="5"/>
    </row>
    <row r="1244">
      <c r="A1244" s="4">
        <f>IFERROR(__xludf.DUMMYFUNCTION("""COMPUTED_VALUE"""),46091.66666666667)</f>
        <v>46091.66667</v>
      </c>
      <c r="B1244" s="1">
        <f>IFERROR(__xludf.DUMMYFUNCTION("""COMPUTED_VALUE"""),260.83)</f>
        <v>260.83</v>
      </c>
      <c r="C1244" s="4">
        <f>IFERROR(__xludf.DUMMYFUNCTION("""COMPUTED_VALUE"""),46091.66666666667)</f>
        <v>46091.66667</v>
      </c>
      <c r="D1244" s="1">
        <f>IFERROR(__xludf.DUMMYFUNCTION("""COMPUTED_VALUE"""),405.76)</f>
        <v>405.76</v>
      </c>
      <c r="E1244" s="4">
        <f>IFERROR(__xludf.DUMMYFUNCTION("""COMPUTED_VALUE"""),46091.66666666667)</f>
        <v>46091.66667</v>
      </c>
      <c r="F1244" s="1">
        <f>IFERROR(__xludf.DUMMYFUNCTION("""COMPUTED_VALUE"""),148.13)</f>
        <v>148.13</v>
      </c>
      <c r="G1244" s="4">
        <f>IFERROR(__xludf.DUMMYFUNCTION("""COMPUTED_VALUE"""),46091.66666666667)</f>
        <v>46091.66667</v>
      </c>
      <c r="H1244" s="1">
        <f>IFERROR(__xludf.DUMMYFUNCTION("""COMPUTED_VALUE"""),186.29)</f>
        <v>186.29</v>
      </c>
      <c r="I1244" s="5">
        <f t="shared" si="1"/>
        <v>-0.00007667829621</v>
      </c>
      <c r="K1244" s="5">
        <f t="shared" si="2"/>
        <v>-0.002168769716</v>
      </c>
      <c r="L1244" s="5">
        <f t="shared" si="3"/>
        <v>0.02329035307</v>
      </c>
      <c r="M1244" s="5">
        <f t="shared" si="4"/>
        <v>0.02952386065</v>
      </c>
      <c r="Q1244" s="5"/>
    </row>
    <row r="1245">
      <c r="A1245" s="4">
        <f>IFERROR(__xludf.DUMMYFUNCTION("""COMPUTED_VALUE"""),46092.66666666667)</f>
        <v>46092.66667</v>
      </c>
      <c r="B1245" s="1">
        <f>IFERROR(__xludf.DUMMYFUNCTION("""COMPUTED_VALUE"""),260.81)</f>
        <v>260.81</v>
      </c>
      <c r="C1245" s="4">
        <f>IFERROR(__xludf.DUMMYFUNCTION("""COMPUTED_VALUE"""),46092.66666666667)</f>
        <v>46092.66667</v>
      </c>
      <c r="D1245" s="1">
        <f>IFERROR(__xludf.DUMMYFUNCTION("""COMPUTED_VALUE"""),404.88)</f>
        <v>404.88</v>
      </c>
      <c r="E1245" s="4">
        <f>IFERROR(__xludf.DUMMYFUNCTION("""COMPUTED_VALUE"""),46092.66666666667)</f>
        <v>46092.66667</v>
      </c>
      <c r="F1245" s="1">
        <f>IFERROR(__xludf.DUMMYFUNCTION("""COMPUTED_VALUE"""),151.58)</f>
        <v>151.58</v>
      </c>
      <c r="G1245" s="4">
        <f>IFERROR(__xludf.DUMMYFUNCTION("""COMPUTED_VALUE"""),46092.66666666667)</f>
        <v>46092.66667</v>
      </c>
      <c r="H1245" s="1">
        <f>IFERROR(__xludf.DUMMYFUNCTION("""COMPUTED_VALUE"""),191.79)</f>
        <v>191.79</v>
      </c>
      <c r="I1245" s="5">
        <f t="shared" si="1"/>
        <v>-0.0193627545</v>
      </c>
      <c r="K1245" s="5">
        <f t="shared" si="2"/>
        <v>-0.007459000198</v>
      </c>
      <c r="L1245" s="5">
        <f t="shared" si="3"/>
        <v>0.012864494</v>
      </c>
      <c r="M1245" s="5">
        <f t="shared" si="4"/>
        <v>0.02700870744</v>
      </c>
      <c r="Q1245" s="5"/>
    </row>
    <row r="1246">
      <c r="A1246" s="4">
        <f>IFERROR(__xludf.DUMMYFUNCTION("""COMPUTED_VALUE"""),46093.66666666667)</f>
        <v>46093.66667</v>
      </c>
      <c r="B1246" s="1">
        <f>IFERROR(__xludf.DUMMYFUNCTION("""COMPUTED_VALUE"""),255.76)</f>
        <v>255.76</v>
      </c>
      <c r="C1246" s="4">
        <f>IFERROR(__xludf.DUMMYFUNCTION("""COMPUTED_VALUE"""),46093.66666666667)</f>
        <v>46093.66667</v>
      </c>
      <c r="D1246" s="1">
        <f>IFERROR(__xludf.DUMMYFUNCTION("""COMPUTED_VALUE"""),401.86)</f>
        <v>401.86</v>
      </c>
      <c r="E1246" s="4">
        <f>IFERROR(__xludf.DUMMYFUNCTION("""COMPUTED_VALUE"""),46093.66666666667)</f>
        <v>46093.66667</v>
      </c>
      <c r="F1246" s="1">
        <f>IFERROR(__xludf.DUMMYFUNCTION("""COMPUTED_VALUE"""),153.53)</f>
        <v>153.53</v>
      </c>
      <c r="G1246" s="4">
        <f>IFERROR(__xludf.DUMMYFUNCTION("""COMPUTED_VALUE"""),46093.66666666667)</f>
        <v>46093.66667</v>
      </c>
      <c r="H1246" s="1">
        <f>IFERROR(__xludf.DUMMYFUNCTION("""COMPUTED_VALUE"""),196.97)</f>
        <v>196.97</v>
      </c>
      <c r="I1246" s="5">
        <f t="shared" si="1"/>
        <v>-0.02205192368</v>
      </c>
      <c r="K1246" s="5">
        <f t="shared" si="2"/>
        <v>-0.01570198577</v>
      </c>
      <c r="L1246" s="5">
        <f t="shared" si="3"/>
        <v>0.01686966717</v>
      </c>
      <c r="M1246" s="5">
        <f t="shared" si="4"/>
        <v>-0.0007615372899</v>
      </c>
      <c r="Q1246" s="5"/>
    </row>
    <row r="1247">
      <c r="A1247" s="4">
        <f>IFERROR(__xludf.DUMMYFUNCTION("""COMPUTED_VALUE"""),46094.66666666667)</f>
        <v>46094.66667</v>
      </c>
      <c r="B1247" s="1">
        <f>IFERROR(__xludf.DUMMYFUNCTION("""COMPUTED_VALUE"""),250.12)</f>
        <v>250.12</v>
      </c>
      <c r="C1247" s="4">
        <f>IFERROR(__xludf.DUMMYFUNCTION("""COMPUTED_VALUE"""),46094.66666666667)</f>
        <v>46094.66667</v>
      </c>
      <c r="D1247" s="1">
        <f>IFERROR(__xludf.DUMMYFUNCTION("""COMPUTED_VALUE"""),395.55)</f>
        <v>395.55</v>
      </c>
      <c r="E1247" s="4">
        <f>IFERROR(__xludf.DUMMYFUNCTION("""COMPUTED_VALUE"""),46094.66666666667)</f>
        <v>46094.66667</v>
      </c>
      <c r="F1247" s="1">
        <f>IFERROR(__xludf.DUMMYFUNCTION("""COMPUTED_VALUE"""),156.12)</f>
        <v>156.12</v>
      </c>
      <c r="G1247" s="4">
        <f>IFERROR(__xludf.DUMMYFUNCTION("""COMPUTED_VALUE"""),46094.66666666667)</f>
        <v>46094.66667</v>
      </c>
      <c r="H1247" s="1">
        <f>IFERROR(__xludf.DUMMYFUNCTION("""COMPUTED_VALUE"""),196.82)</f>
        <v>196.82</v>
      </c>
      <c r="I1247" s="5">
        <f t="shared" si="1"/>
        <v>0.01079481849</v>
      </c>
      <c r="K1247" s="5">
        <f t="shared" si="2"/>
        <v>0.01112375174</v>
      </c>
      <c r="L1247" s="5">
        <f t="shared" si="3"/>
        <v>0.00710991545</v>
      </c>
      <c r="M1247" s="5">
        <f t="shared" si="4"/>
        <v>0.0001016156895</v>
      </c>
      <c r="Q1247" s="5"/>
    </row>
    <row r="1248">
      <c r="A1248" s="4">
        <f>IFERROR(__xludf.DUMMYFUNCTION("""COMPUTED_VALUE"""),46097.66666666667)</f>
        <v>46097.66667</v>
      </c>
      <c r="B1248" s="1">
        <f>IFERROR(__xludf.DUMMYFUNCTION("""COMPUTED_VALUE"""),252.82)</f>
        <v>252.82</v>
      </c>
      <c r="C1248" s="4">
        <f>IFERROR(__xludf.DUMMYFUNCTION("""COMPUTED_VALUE"""),46097.66666666667)</f>
        <v>46097.66667</v>
      </c>
      <c r="D1248" s="1">
        <f>IFERROR(__xludf.DUMMYFUNCTION("""COMPUTED_VALUE"""),399.95)</f>
        <v>399.95</v>
      </c>
      <c r="E1248" s="4">
        <f>IFERROR(__xludf.DUMMYFUNCTION("""COMPUTED_VALUE"""),46097.66666666667)</f>
        <v>46097.66667</v>
      </c>
      <c r="F1248" s="1">
        <f>IFERROR(__xludf.DUMMYFUNCTION("""COMPUTED_VALUE"""),157.23)</f>
        <v>157.23</v>
      </c>
      <c r="G1248" s="4">
        <f>IFERROR(__xludf.DUMMYFUNCTION("""COMPUTED_VALUE"""),46097.66666666667)</f>
        <v>46097.66667</v>
      </c>
      <c r="H1248" s="1">
        <f>IFERROR(__xludf.DUMMYFUNCTION("""COMPUTED_VALUE"""),196.84)</f>
        <v>196.84</v>
      </c>
      <c r="I1248" s="5">
        <f t="shared" si="1"/>
        <v>0.00557709042</v>
      </c>
      <c r="K1248" s="5">
        <f t="shared" si="2"/>
        <v>-0.001350168771</v>
      </c>
      <c r="L1248" s="5">
        <f t="shared" si="3"/>
        <v>0.01004897284</v>
      </c>
      <c r="M1248" s="5">
        <f t="shared" si="4"/>
        <v>0.005740703109</v>
      </c>
      <c r="Q1248" s="5"/>
    </row>
    <row r="1249">
      <c r="A1249" s="4">
        <f>IFERROR(__xludf.DUMMYFUNCTION("""COMPUTED_VALUE"""),46098.66666666667)</f>
        <v>46098.66667</v>
      </c>
      <c r="B1249" s="1">
        <f>IFERROR(__xludf.DUMMYFUNCTION("""COMPUTED_VALUE"""),254.23)</f>
        <v>254.23</v>
      </c>
      <c r="C1249" s="4">
        <f>IFERROR(__xludf.DUMMYFUNCTION("""COMPUTED_VALUE"""),46098.66666666667)</f>
        <v>46098.66667</v>
      </c>
      <c r="D1249" s="1">
        <f>IFERROR(__xludf.DUMMYFUNCTION("""COMPUTED_VALUE"""),399.41)</f>
        <v>399.41</v>
      </c>
      <c r="E1249" s="4">
        <f>IFERROR(__xludf.DUMMYFUNCTION("""COMPUTED_VALUE"""),46098.66666666667)</f>
        <v>46098.66667</v>
      </c>
      <c r="F1249" s="1">
        <f>IFERROR(__xludf.DUMMYFUNCTION("""COMPUTED_VALUE"""),158.81)</f>
        <v>158.81</v>
      </c>
      <c r="G1249" s="4">
        <f>IFERROR(__xludf.DUMMYFUNCTION("""COMPUTED_VALUE"""),46098.66666666667)</f>
        <v>46098.66667</v>
      </c>
      <c r="H1249" s="1">
        <f>IFERROR(__xludf.DUMMYFUNCTION("""COMPUTED_VALUE"""),197.97)</f>
        <v>197.97</v>
      </c>
      <c r="I1249" s="5">
        <f t="shared" si="1"/>
        <v>-0.01687448374</v>
      </c>
      <c r="K1249" s="5">
        <f t="shared" si="2"/>
        <v>-0.01907814026</v>
      </c>
      <c r="L1249" s="5">
        <f t="shared" si="3"/>
        <v>-0.007682135886</v>
      </c>
      <c r="M1249" s="5">
        <f t="shared" si="4"/>
        <v>0.003232813052</v>
      </c>
      <c r="Q1249" s="5"/>
    </row>
    <row r="1250">
      <c r="A1250" s="4">
        <f>IFERROR(__xludf.DUMMYFUNCTION("""COMPUTED_VALUE"""),46099.66666666667)</f>
        <v>46099.66667</v>
      </c>
      <c r="B1250" s="1">
        <f>IFERROR(__xludf.DUMMYFUNCTION("""COMPUTED_VALUE"""),249.94)</f>
        <v>249.94</v>
      </c>
      <c r="C1250" s="4">
        <f>IFERROR(__xludf.DUMMYFUNCTION("""COMPUTED_VALUE"""),46099.66666666667)</f>
        <v>46099.66667</v>
      </c>
      <c r="D1250" s="1">
        <f>IFERROR(__xludf.DUMMYFUNCTION("""COMPUTED_VALUE"""),391.79)</f>
        <v>391.79</v>
      </c>
      <c r="E1250" s="4">
        <f>IFERROR(__xludf.DUMMYFUNCTION("""COMPUTED_VALUE"""),46099.66666666667)</f>
        <v>46099.66667</v>
      </c>
      <c r="F1250" s="1">
        <f>IFERROR(__xludf.DUMMYFUNCTION("""COMPUTED_VALUE"""),157.59)</f>
        <v>157.59</v>
      </c>
      <c r="G1250" s="4">
        <f>IFERROR(__xludf.DUMMYFUNCTION("""COMPUTED_VALUE"""),46099.66666666667)</f>
        <v>46099.66667</v>
      </c>
      <c r="H1250" s="1">
        <f>IFERROR(__xludf.DUMMYFUNCTION("""COMPUTED_VALUE"""),198.61)</f>
        <v>198.61</v>
      </c>
      <c r="I1250" s="5">
        <f t="shared" si="1"/>
        <v>-0.003920941026</v>
      </c>
      <c r="K1250" s="5">
        <f t="shared" si="2"/>
        <v>-0.007070114092</v>
      </c>
      <c r="L1250" s="5">
        <f t="shared" si="3"/>
        <v>0.003616980773</v>
      </c>
      <c r="M1250" s="5">
        <f t="shared" si="4"/>
        <v>0.01424903076</v>
      </c>
      <c r="Q1250" s="5"/>
    </row>
    <row r="1251">
      <c r="A1251" s="4">
        <f>IFERROR(__xludf.DUMMYFUNCTION("""COMPUTED_VALUE"""),46100.66666666667)</f>
        <v>46100.66667</v>
      </c>
      <c r="B1251" s="1">
        <f>IFERROR(__xludf.DUMMYFUNCTION("""COMPUTED_VALUE"""),248.96)</f>
        <v>248.96</v>
      </c>
      <c r="C1251" s="4">
        <f>IFERROR(__xludf.DUMMYFUNCTION("""COMPUTED_VALUE"""),46100.66666666667)</f>
        <v>46100.66667</v>
      </c>
      <c r="D1251" s="1">
        <f>IFERROR(__xludf.DUMMYFUNCTION("""COMPUTED_VALUE"""),389.02)</f>
        <v>389.02</v>
      </c>
      <c r="E1251" s="4">
        <f>IFERROR(__xludf.DUMMYFUNCTION("""COMPUTED_VALUE"""),46100.66666666667)</f>
        <v>46100.66667</v>
      </c>
      <c r="F1251" s="1">
        <f>IFERROR(__xludf.DUMMYFUNCTION("""COMPUTED_VALUE"""),158.16)</f>
        <v>158.16</v>
      </c>
      <c r="G1251" s="4">
        <f>IFERROR(__xludf.DUMMYFUNCTION("""COMPUTED_VALUE"""),46100.66666666667)</f>
        <v>46100.66667</v>
      </c>
      <c r="H1251" s="1">
        <f>IFERROR(__xludf.DUMMYFUNCTION("""COMPUTED_VALUE"""),201.44)</f>
        <v>201.44</v>
      </c>
      <c r="I1251" s="5">
        <f t="shared" si="1"/>
        <v>-0.003896208226</v>
      </c>
      <c r="K1251" s="5">
        <f t="shared" si="2"/>
        <v>-0.01837951776</v>
      </c>
      <c r="L1251" s="5">
        <f t="shared" si="3"/>
        <v>0.00954729388</v>
      </c>
      <c r="M1251" s="5">
        <f t="shared" si="4"/>
        <v>0.001439634631</v>
      </c>
      <c r="Q1251" s="5"/>
    </row>
    <row r="1252">
      <c r="A1252" s="4">
        <f>IFERROR(__xludf.DUMMYFUNCTION("""COMPUTED_VALUE"""),46101.66666666667)</f>
        <v>46101.66667</v>
      </c>
      <c r="B1252" s="1">
        <f>IFERROR(__xludf.DUMMYFUNCTION("""COMPUTED_VALUE"""),247.99)</f>
        <v>247.99</v>
      </c>
      <c r="C1252" s="4">
        <f>IFERROR(__xludf.DUMMYFUNCTION("""COMPUTED_VALUE"""),46101.66666666667)</f>
        <v>46101.66667</v>
      </c>
      <c r="D1252" s="1">
        <f>IFERROR(__xludf.DUMMYFUNCTION("""COMPUTED_VALUE"""),381.87)</f>
        <v>381.87</v>
      </c>
      <c r="E1252" s="4">
        <f>IFERROR(__xludf.DUMMYFUNCTION("""COMPUTED_VALUE"""),46101.66666666667)</f>
        <v>46101.66667</v>
      </c>
      <c r="F1252" s="1">
        <f>IFERROR(__xludf.DUMMYFUNCTION("""COMPUTED_VALUE"""),159.67)</f>
        <v>159.67</v>
      </c>
      <c r="G1252" s="4">
        <f>IFERROR(__xludf.DUMMYFUNCTION("""COMPUTED_VALUE"""),46101.66666666667)</f>
        <v>46101.66667</v>
      </c>
      <c r="H1252" s="1">
        <f>IFERROR(__xludf.DUMMYFUNCTION("""COMPUTED_VALUE"""),201.73)</f>
        <v>201.73</v>
      </c>
      <c r="I1252" s="5">
        <f t="shared" si="1"/>
        <v>0.01411347232</v>
      </c>
      <c r="K1252" s="5">
        <f t="shared" si="2"/>
        <v>0.002959122214</v>
      </c>
      <c r="L1252" s="5">
        <f t="shared" si="3"/>
        <v>0.00914385921</v>
      </c>
      <c r="M1252" s="5">
        <f t="shared" si="4"/>
        <v>0.01725078075</v>
      </c>
      <c r="Q1252" s="5"/>
    </row>
    <row r="1253">
      <c r="A1253" s="4">
        <f>IFERROR(__xludf.DUMMYFUNCTION("""COMPUTED_VALUE"""),46104.66666666667)</f>
        <v>46104.66667</v>
      </c>
      <c r="B1253" s="1">
        <f>IFERROR(__xludf.DUMMYFUNCTION("""COMPUTED_VALUE"""),251.49)</f>
        <v>251.49</v>
      </c>
      <c r="C1253" s="4">
        <f>IFERROR(__xludf.DUMMYFUNCTION("""COMPUTED_VALUE"""),46104.66666666667)</f>
        <v>46104.66667</v>
      </c>
      <c r="D1253" s="1">
        <f>IFERROR(__xludf.DUMMYFUNCTION("""COMPUTED_VALUE"""),383.0)</f>
        <v>383</v>
      </c>
      <c r="E1253" s="4">
        <f>IFERROR(__xludf.DUMMYFUNCTION("""COMPUTED_VALUE"""),46104.66666666667)</f>
        <v>46104.66667</v>
      </c>
      <c r="F1253" s="1">
        <f>IFERROR(__xludf.DUMMYFUNCTION("""COMPUTED_VALUE"""),161.13)</f>
        <v>161.13</v>
      </c>
      <c r="G1253" s="4">
        <f>IFERROR(__xludf.DUMMYFUNCTION("""COMPUTED_VALUE"""),46104.66666666667)</f>
        <v>46104.66667</v>
      </c>
      <c r="H1253" s="1">
        <f>IFERROR(__xludf.DUMMYFUNCTION("""COMPUTED_VALUE"""),205.21)</f>
        <v>205.21</v>
      </c>
      <c r="I1253" s="5">
        <f t="shared" si="1"/>
        <v>0.0005964451867</v>
      </c>
      <c r="K1253" s="5">
        <f t="shared" si="2"/>
        <v>-0.02678851175</v>
      </c>
      <c r="L1253" s="5">
        <f t="shared" si="3"/>
        <v>0.02637621796</v>
      </c>
      <c r="M1253" s="5">
        <f t="shared" si="4"/>
        <v>0.007699429852</v>
      </c>
      <c r="Q1253" s="5"/>
    </row>
    <row r="1254">
      <c r="A1254" s="4">
        <f>IFERROR(__xludf.DUMMYFUNCTION("""COMPUTED_VALUE"""),46105.66666666667)</f>
        <v>46105.66667</v>
      </c>
      <c r="B1254" s="1">
        <f>IFERROR(__xludf.DUMMYFUNCTION("""COMPUTED_VALUE"""),251.64)</f>
        <v>251.64</v>
      </c>
      <c r="C1254" s="4">
        <f>IFERROR(__xludf.DUMMYFUNCTION("""COMPUTED_VALUE"""),46105.66666666667)</f>
        <v>46105.66667</v>
      </c>
      <c r="D1254" s="1">
        <f>IFERROR(__xludf.DUMMYFUNCTION("""COMPUTED_VALUE"""),372.74)</f>
        <v>372.74</v>
      </c>
      <c r="E1254" s="4">
        <f>IFERROR(__xludf.DUMMYFUNCTION("""COMPUTED_VALUE"""),46105.66666666667)</f>
        <v>46105.66667</v>
      </c>
      <c r="F1254" s="1">
        <f>IFERROR(__xludf.DUMMYFUNCTION("""COMPUTED_VALUE"""),165.38)</f>
        <v>165.38</v>
      </c>
      <c r="G1254" s="4">
        <f>IFERROR(__xludf.DUMMYFUNCTION("""COMPUTED_VALUE"""),46105.66666666667)</f>
        <v>46105.66667</v>
      </c>
      <c r="H1254" s="1">
        <f>IFERROR(__xludf.DUMMYFUNCTION("""COMPUTED_VALUE"""),206.79)</f>
        <v>206.79</v>
      </c>
      <c r="I1254" s="5">
        <f t="shared" si="1"/>
        <v>0.003894452392</v>
      </c>
      <c r="K1254" s="5">
        <f t="shared" si="2"/>
        <v>-0.004560819874</v>
      </c>
      <c r="L1254" s="5">
        <f t="shared" si="3"/>
        <v>-0.01281896239</v>
      </c>
      <c r="M1254" s="5">
        <f t="shared" si="4"/>
        <v>-0.007930751003</v>
      </c>
      <c r="Q1254" s="5"/>
    </row>
    <row r="1255">
      <c r="A1255" s="4">
        <f>IFERROR(__xludf.DUMMYFUNCTION("""COMPUTED_VALUE"""),46106.66666666667)</f>
        <v>46106.66667</v>
      </c>
      <c r="B1255" s="1">
        <f>IFERROR(__xludf.DUMMYFUNCTION("""COMPUTED_VALUE"""),252.62)</f>
        <v>252.62</v>
      </c>
      <c r="C1255" s="4">
        <f>IFERROR(__xludf.DUMMYFUNCTION("""COMPUTED_VALUE"""),46106.66666666667)</f>
        <v>46106.66667</v>
      </c>
      <c r="D1255" s="1">
        <f>IFERROR(__xludf.DUMMYFUNCTION("""COMPUTED_VALUE"""),371.04)</f>
        <v>371.04</v>
      </c>
      <c r="E1255" s="4">
        <f>IFERROR(__xludf.DUMMYFUNCTION("""COMPUTED_VALUE"""),46106.66666666667)</f>
        <v>46106.66667</v>
      </c>
      <c r="F1255" s="1">
        <f>IFERROR(__xludf.DUMMYFUNCTION("""COMPUTED_VALUE"""),163.26)</f>
        <v>163.26</v>
      </c>
      <c r="G1255" s="4">
        <f>IFERROR(__xludf.DUMMYFUNCTION("""COMPUTED_VALUE"""),46106.66666666667)</f>
        <v>46106.66667</v>
      </c>
      <c r="H1255" s="1">
        <f>IFERROR(__xludf.DUMMYFUNCTION("""COMPUTED_VALUE"""),205.15)</f>
        <v>205.15</v>
      </c>
      <c r="I1255" s="5">
        <f t="shared" si="1"/>
        <v>0.001068798987</v>
      </c>
      <c r="K1255" s="5">
        <f t="shared" si="2"/>
        <v>-0.01366429495</v>
      </c>
      <c r="L1255" s="5">
        <f t="shared" si="3"/>
        <v>0.01329168198</v>
      </c>
      <c r="M1255" s="5">
        <f t="shared" si="4"/>
        <v>0.01286863271</v>
      </c>
      <c r="Q1255" s="5"/>
    </row>
    <row r="1256">
      <c r="A1256" s="4">
        <f>IFERROR(__xludf.DUMMYFUNCTION("""COMPUTED_VALUE"""),46107.66666666667)</f>
        <v>46107.66667</v>
      </c>
      <c r="B1256" s="1">
        <f>IFERROR(__xludf.DUMMYFUNCTION("""COMPUTED_VALUE"""),252.89)</f>
        <v>252.89</v>
      </c>
      <c r="C1256" s="4">
        <f>IFERROR(__xludf.DUMMYFUNCTION("""COMPUTED_VALUE"""),46107.66666666667)</f>
        <v>46107.66667</v>
      </c>
      <c r="D1256" s="1">
        <f>IFERROR(__xludf.DUMMYFUNCTION("""COMPUTED_VALUE"""),365.97)</f>
        <v>365.97</v>
      </c>
      <c r="E1256" s="4">
        <f>IFERROR(__xludf.DUMMYFUNCTION("""COMPUTED_VALUE"""),46107.66666666667)</f>
        <v>46107.66667</v>
      </c>
      <c r="F1256" s="1">
        <f>IFERROR(__xludf.DUMMYFUNCTION("""COMPUTED_VALUE"""),165.43)</f>
        <v>165.43</v>
      </c>
      <c r="G1256" s="4">
        <f>IFERROR(__xludf.DUMMYFUNCTION("""COMPUTED_VALUE"""),46107.66666666667)</f>
        <v>46107.66667</v>
      </c>
      <c r="H1256" s="1">
        <f>IFERROR(__xludf.DUMMYFUNCTION("""COMPUTED_VALUE"""),207.79)</f>
        <v>207.79</v>
      </c>
      <c r="I1256" s="5">
        <f t="shared" si="1"/>
        <v>-0.01617303966</v>
      </c>
      <c r="K1256" s="5">
        <f t="shared" si="2"/>
        <v>-0.02513867257</v>
      </c>
      <c r="L1256" s="5">
        <f t="shared" si="3"/>
        <v>0.03360938161</v>
      </c>
      <c r="M1256" s="5">
        <f t="shared" si="4"/>
        <v>0.01617017181</v>
      </c>
      <c r="Q1256" s="5"/>
    </row>
    <row r="1257">
      <c r="A1257" s="4">
        <f>IFERROR(__xludf.DUMMYFUNCTION("""COMPUTED_VALUE"""),46108.66666666667)</f>
        <v>46108.66667</v>
      </c>
      <c r="B1257" s="1">
        <f>IFERROR(__xludf.DUMMYFUNCTION("""COMPUTED_VALUE"""),248.8)</f>
        <v>248.8</v>
      </c>
      <c r="C1257" s="4">
        <f>IFERROR(__xludf.DUMMYFUNCTION("""COMPUTED_VALUE"""),46108.66666666667)</f>
        <v>46108.66667</v>
      </c>
      <c r="D1257" s="1">
        <f>IFERROR(__xludf.DUMMYFUNCTION("""COMPUTED_VALUE"""),356.77)</f>
        <v>356.77</v>
      </c>
      <c r="E1257" s="4">
        <f>IFERROR(__xludf.DUMMYFUNCTION("""COMPUTED_VALUE"""),46108.66666666667)</f>
        <v>46108.66667</v>
      </c>
      <c r="F1257" s="1">
        <f>IFERROR(__xludf.DUMMYFUNCTION("""COMPUTED_VALUE"""),170.99)</f>
        <v>170.99</v>
      </c>
      <c r="G1257" s="4">
        <f>IFERROR(__xludf.DUMMYFUNCTION("""COMPUTED_VALUE"""),46108.66666666667)</f>
        <v>46108.66667</v>
      </c>
      <c r="H1257" s="1">
        <f>IFERROR(__xludf.DUMMYFUNCTION("""COMPUTED_VALUE"""),211.15)</f>
        <v>211.15</v>
      </c>
      <c r="I1257" s="5">
        <f>STDEV(I2:I1255)</f>
        <v>0.01729188392</v>
      </c>
      <c r="K1257" s="5">
        <f t="shared" ref="K1257:M1257" si="5">STDEV(K2:K1255)</f>
        <v>0.01648466923</v>
      </c>
      <c r="L1257" s="5">
        <f t="shared" si="5"/>
        <v>0.01674656242</v>
      </c>
      <c r="M1257" s="5">
        <f t="shared" si="5"/>
        <v>0.01582759469</v>
      </c>
      <c r="Q1257" s="5"/>
    </row>
    <row r="1258">
      <c r="I1258" s="5"/>
      <c r="K1258" s="5"/>
      <c r="Q1258" s="5"/>
    </row>
    <row r="1259">
      <c r="I1259" s="5"/>
      <c r="K1259" s="5"/>
      <c r="Q1259" s="5"/>
    </row>
    <row r="1260">
      <c r="I1260" s="5"/>
      <c r="K1260" s="5"/>
      <c r="Q1260" s="5"/>
    </row>
    <row r="1261">
      <c r="I1261" s="5"/>
      <c r="K1261" s="5"/>
      <c r="Q1261" s="5"/>
    </row>
    <row r="1262">
      <c r="I1262" s="5"/>
      <c r="K1262" s="5"/>
      <c r="Q1262" s="5"/>
    </row>
    <row r="1263">
      <c r="I1263" s="5"/>
      <c r="K1263" s="5"/>
      <c r="Q1263" s="5"/>
    </row>
    <row r="1264">
      <c r="I1264" s="5"/>
      <c r="K1264" s="5"/>
      <c r="Q1264" s="5"/>
    </row>
    <row r="1265">
      <c r="I1265" s="5"/>
      <c r="K1265" s="5"/>
      <c r="Q1265" s="5"/>
    </row>
    <row r="1266">
      <c r="I1266" s="5"/>
      <c r="K1266" s="5"/>
      <c r="Q1266" s="5"/>
    </row>
    <row r="1267">
      <c r="I1267" s="5"/>
      <c r="K1267" s="5"/>
      <c r="Q1267" s="5"/>
    </row>
    <row r="1268">
      <c r="I1268" s="5"/>
      <c r="K1268" s="5"/>
      <c r="Q1268" s="5"/>
    </row>
    <row r="1269">
      <c r="I1269" s="5"/>
      <c r="K1269" s="5"/>
      <c r="Q1269" s="5"/>
    </row>
    <row r="1270">
      <c r="I1270" s="5"/>
      <c r="K1270" s="5"/>
      <c r="Q1270" s="5"/>
    </row>
    <row r="1271">
      <c r="I1271" s="5"/>
      <c r="K1271" s="5"/>
      <c r="Q1271" s="5"/>
    </row>
    <row r="1272">
      <c r="I1272" s="5"/>
      <c r="K1272" s="5"/>
      <c r="Q1272" s="5"/>
    </row>
    <row r="1273">
      <c r="I1273" s="5"/>
      <c r="K1273" s="5"/>
      <c r="Q1273" s="5"/>
    </row>
    <row r="1274">
      <c r="I1274" s="5"/>
      <c r="K1274" s="5"/>
      <c r="Q1274" s="5"/>
    </row>
    <row r="1275">
      <c r="I1275" s="5"/>
      <c r="K1275" s="5"/>
      <c r="Q1275" s="5"/>
    </row>
    <row r="1276">
      <c r="I1276" s="5"/>
      <c r="K1276" s="5"/>
      <c r="Q1276" s="5"/>
    </row>
    <row r="1277">
      <c r="I1277" s="5"/>
      <c r="K1277" s="5"/>
      <c r="Q1277" s="5"/>
    </row>
    <row r="1278">
      <c r="I1278" s="5"/>
      <c r="K1278" s="5"/>
      <c r="Q1278" s="5"/>
    </row>
    <row r="1279">
      <c r="I1279" s="5"/>
      <c r="K1279" s="5"/>
      <c r="Q1279" s="5"/>
    </row>
    <row r="1280">
      <c r="I1280" s="5"/>
      <c r="K1280" s="5"/>
      <c r="Q1280" s="5"/>
    </row>
    <row r="1281">
      <c r="I1281" s="5"/>
      <c r="K1281" s="5"/>
      <c r="Q1281" s="5"/>
    </row>
    <row r="1282">
      <c r="I1282" s="5"/>
      <c r="K1282" s="5"/>
      <c r="Q1282" s="5"/>
    </row>
    <row r="1283">
      <c r="I1283" s="5"/>
      <c r="K1283" s="5"/>
      <c r="Q1283" s="5"/>
    </row>
    <row r="1284">
      <c r="I1284" s="5"/>
      <c r="K1284" s="5"/>
      <c r="Q1284" s="5"/>
    </row>
    <row r="1285">
      <c r="I1285" s="5"/>
      <c r="K1285" s="5"/>
      <c r="Q1285" s="5"/>
    </row>
    <row r="1286">
      <c r="I1286" s="5"/>
      <c r="K1286" s="5"/>
      <c r="Q1286" s="5"/>
    </row>
    <row r="1287">
      <c r="I1287" s="5"/>
      <c r="K1287" s="5"/>
      <c r="Q1287" s="5"/>
    </row>
    <row r="1288">
      <c r="I1288" s="5"/>
      <c r="K1288" s="5"/>
      <c r="Q1288" s="5"/>
    </row>
    <row r="1289">
      <c r="I1289" s="5"/>
      <c r="K1289" s="5"/>
      <c r="Q1289" s="5"/>
    </row>
    <row r="1290">
      <c r="I1290" s="5"/>
      <c r="K1290" s="5"/>
      <c r="Q1290" s="5"/>
    </row>
    <row r="1291">
      <c r="I1291" s="5"/>
      <c r="K1291" s="5"/>
      <c r="Q1291" s="5"/>
    </row>
    <row r="1292">
      <c r="I1292" s="5"/>
      <c r="K1292" s="5"/>
      <c r="Q1292" s="5"/>
    </row>
    <row r="1293">
      <c r="I1293" s="5"/>
      <c r="K1293" s="5"/>
      <c r="Q1293" s="5"/>
    </row>
    <row r="1294">
      <c r="I1294" s="5"/>
      <c r="K1294" s="5"/>
      <c r="Q1294" s="5"/>
    </row>
    <row r="1295">
      <c r="I1295" s="5"/>
      <c r="K1295" s="5"/>
      <c r="Q1295" s="5"/>
    </row>
    <row r="1296">
      <c r="I1296" s="5"/>
      <c r="K1296" s="5"/>
      <c r="Q1296" s="5"/>
    </row>
    <row r="1297">
      <c r="I1297" s="5"/>
      <c r="K1297" s="5"/>
      <c r="Q1297" s="5"/>
    </row>
    <row r="1298">
      <c r="I1298" s="5"/>
      <c r="K1298" s="5"/>
      <c r="Q1298" s="5"/>
    </row>
    <row r="1299">
      <c r="I1299" s="5"/>
      <c r="K1299" s="5"/>
      <c r="Q1299" s="5"/>
    </row>
    <row r="1300">
      <c r="I1300" s="5"/>
      <c r="K1300" s="5"/>
      <c r="Q1300" s="5"/>
    </row>
    <row r="1301">
      <c r="I1301" s="5"/>
      <c r="K1301" s="5"/>
      <c r="Q1301" s="5"/>
    </row>
    <row r="1302">
      <c r="I1302" s="5"/>
      <c r="K1302" s="5"/>
      <c r="Q1302" s="5"/>
    </row>
    <row r="1303">
      <c r="I1303" s="5"/>
      <c r="K1303" s="5"/>
      <c r="Q1303" s="5"/>
    </row>
    <row r="1304">
      <c r="I1304" s="5"/>
      <c r="K1304" s="5"/>
      <c r="Q1304" s="5"/>
    </row>
    <row r="1305">
      <c r="I1305" s="5"/>
      <c r="K1305" s="5"/>
      <c r="Q1305" s="5"/>
    </row>
    <row r="1306">
      <c r="I1306" s="5"/>
      <c r="K1306" s="5"/>
      <c r="Q1306" s="5"/>
    </row>
    <row r="1307">
      <c r="I1307" s="5"/>
      <c r="K1307" s="5"/>
      <c r="Q1307" s="5"/>
    </row>
    <row r="1308">
      <c r="I1308" s="5"/>
      <c r="K1308" s="5"/>
      <c r="Q1308" s="5"/>
    </row>
    <row r="1309">
      <c r="I1309" s="5"/>
      <c r="K1309" s="5"/>
      <c r="Q1309" s="5"/>
    </row>
    <row r="1310">
      <c r="I1310" s="5"/>
      <c r="K1310" s="5"/>
      <c r="Q1310" s="5"/>
    </row>
    <row r="1311">
      <c r="I1311" s="5"/>
      <c r="K1311" s="5"/>
      <c r="Q1311" s="5"/>
    </row>
    <row r="1312">
      <c r="I1312" s="5"/>
      <c r="K1312" s="5"/>
      <c r="Q1312" s="5"/>
    </row>
    <row r="1313">
      <c r="I1313" s="5"/>
      <c r="K1313" s="5"/>
      <c r="Q1313" s="5"/>
    </row>
    <row r="1314">
      <c r="I1314" s="5"/>
      <c r="K1314" s="5"/>
      <c r="Q1314" s="5"/>
    </row>
    <row r="1315">
      <c r="I1315" s="5"/>
      <c r="K1315" s="5"/>
      <c r="Q1315" s="5"/>
    </row>
    <row r="1316">
      <c r="I1316" s="5"/>
      <c r="K1316" s="5"/>
      <c r="Q1316" s="5"/>
    </row>
    <row r="1317">
      <c r="I1317" s="5"/>
      <c r="K1317" s="5"/>
      <c r="Q1317" s="5"/>
    </row>
    <row r="1318">
      <c r="I1318" s="5"/>
      <c r="K1318" s="5"/>
      <c r="Q1318" s="5"/>
    </row>
    <row r="1319">
      <c r="I1319" s="5"/>
      <c r="K1319" s="5"/>
      <c r="Q1319" s="5"/>
    </row>
    <row r="1320">
      <c r="I1320" s="5"/>
      <c r="K1320" s="5"/>
      <c r="Q1320" s="5"/>
    </row>
    <row r="1321">
      <c r="I1321" s="5"/>
      <c r="K1321" s="5"/>
      <c r="Q1321" s="5"/>
    </row>
    <row r="1322">
      <c r="I1322" s="5"/>
      <c r="K1322" s="5"/>
      <c r="Q1322" s="5"/>
    </row>
    <row r="1323">
      <c r="I1323" s="5"/>
      <c r="K1323" s="5"/>
      <c r="Q1323" s="5"/>
    </row>
    <row r="1324">
      <c r="I1324" s="5"/>
      <c r="K1324" s="5"/>
      <c r="Q1324" s="5"/>
    </row>
    <row r="1325">
      <c r="I1325" s="5"/>
      <c r="K1325" s="5"/>
      <c r="Q1325" s="5"/>
    </row>
    <row r="1326">
      <c r="I1326" s="5"/>
      <c r="K1326" s="5"/>
      <c r="Q1326" s="5"/>
    </row>
    <row r="1327">
      <c r="I1327" s="5"/>
      <c r="K1327" s="5"/>
      <c r="Q1327" s="5"/>
    </row>
    <row r="1328">
      <c r="I1328" s="5"/>
      <c r="K1328" s="5"/>
      <c r="Q1328" s="5"/>
    </row>
    <row r="1329">
      <c r="I1329" s="5"/>
      <c r="K1329" s="5"/>
      <c r="Q1329" s="5"/>
    </row>
    <row r="1330">
      <c r="I1330" s="5"/>
      <c r="K1330" s="5"/>
      <c r="Q1330" s="5"/>
    </row>
    <row r="1331">
      <c r="I1331" s="5"/>
      <c r="K1331" s="5"/>
      <c r="Q1331" s="5"/>
    </row>
    <row r="1332">
      <c r="I1332" s="5"/>
      <c r="K1332" s="5"/>
      <c r="Q1332" s="5"/>
    </row>
    <row r="1333">
      <c r="I1333" s="5"/>
      <c r="K1333" s="5"/>
      <c r="Q1333" s="5"/>
    </row>
    <row r="1334">
      <c r="I1334" s="5"/>
      <c r="K1334" s="5"/>
      <c r="Q1334" s="5"/>
    </row>
    <row r="1335">
      <c r="I1335" s="5"/>
      <c r="K1335" s="5"/>
      <c r="Q1335" s="5"/>
    </row>
    <row r="1336">
      <c r="I1336" s="5"/>
      <c r="K1336" s="5"/>
      <c r="Q1336" s="5"/>
    </row>
    <row r="1337">
      <c r="I1337" s="5"/>
      <c r="K1337" s="5"/>
      <c r="Q1337" s="5"/>
    </row>
    <row r="1338">
      <c r="I1338" s="5"/>
      <c r="K1338" s="5"/>
      <c r="Q1338" s="5"/>
    </row>
    <row r="1339">
      <c r="I1339" s="5"/>
      <c r="K1339" s="5"/>
      <c r="Q1339" s="5"/>
    </row>
    <row r="1340">
      <c r="I1340" s="5"/>
      <c r="K1340" s="5"/>
      <c r="Q1340" s="5"/>
    </row>
    <row r="1341">
      <c r="I1341" s="5"/>
      <c r="K1341" s="5"/>
      <c r="Q1341" s="5"/>
    </row>
    <row r="1342">
      <c r="I1342" s="5"/>
      <c r="K1342" s="5"/>
      <c r="Q1342" s="5"/>
    </row>
    <row r="1343">
      <c r="I1343" s="5"/>
      <c r="K1343" s="5"/>
      <c r="Q1343" s="5"/>
    </row>
    <row r="1344">
      <c r="I1344" s="5"/>
      <c r="K1344" s="5"/>
      <c r="Q1344" s="5"/>
    </row>
    <row r="1345">
      <c r="I1345" s="5"/>
      <c r="K1345" s="5"/>
      <c r="Q1345" s="5"/>
    </row>
    <row r="1346">
      <c r="I1346" s="5"/>
      <c r="K1346" s="5"/>
      <c r="Q1346" s="5"/>
    </row>
    <row r="1347">
      <c r="I1347" s="5"/>
      <c r="K1347" s="5"/>
      <c r="Q1347" s="5"/>
    </row>
    <row r="1348">
      <c r="I1348" s="5"/>
      <c r="K1348" s="5"/>
      <c r="Q1348" s="5"/>
    </row>
    <row r="1349">
      <c r="I1349" s="5"/>
      <c r="K1349" s="5"/>
      <c r="Q1349" s="5"/>
    </row>
    <row r="1350">
      <c r="I1350" s="5"/>
      <c r="K1350" s="5"/>
      <c r="Q1350" s="5"/>
    </row>
    <row r="1351">
      <c r="I1351" s="5"/>
      <c r="K1351" s="5"/>
      <c r="Q1351" s="5"/>
    </row>
    <row r="1352">
      <c r="I1352" s="5"/>
      <c r="K1352" s="5"/>
      <c r="Q1352" s="5"/>
    </row>
    <row r="1353">
      <c r="I1353" s="5"/>
      <c r="K1353" s="5"/>
      <c r="Q1353" s="5"/>
    </row>
    <row r="1354">
      <c r="I1354" s="5"/>
      <c r="K1354" s="5"/>
      <c r="Q1354" s="5"/>
    </row>
    <row r="1355">
      <c r="I1355" s="5"/>
      <c r="K1355" s="5"/>
      <c r="Q1355" s="5"/>
    </row>
    <row r="1356">
      <c r="I1356" s="5"/>
      <c r="K1356" s="5"/>
      <c r="Q1356" s="5"/>
    </row>
    <row r="1357">
      <c r="I1357" s="5"/>
      <c r="K1357" s="5"/>
      <c r="Q1357" s="5"/>
    </row>
    <row r="1358">
      <c r="I1358" s="5"/>
      <c r="K1358" s="5"/>
      <c r="Q1358" s="5"/>
    </row>
    <row r="1359">
      <c r="I1359" s="5"/>
      <c r="K1359" s="5"/>
      <c r="Q1359" s="5"/>
    </row>
    <row r="1360">
      <c r="I1360" s="5"/>
      <c r="K1360" s="5"/>
      <c r="Q1360" s="5"/>
    </row>
    <row r="1361">
      <c r="I1361" s="5"/>
      <c r="K1361" s="5"/>
      <c r="Q1361" s="5"/>
    </row>
    <row r="1362">
      <c r="I1362" s="5"/>
      <c r="K1362" s="5"/>
      <c r="Q1362" s="5"/>
    </row>
    <row r="1363">
      <c r="I1363" s="5"/>
      <c r="K1363" s="5"/>
      <c r="Q1363" s="5"/>
    </row>
    <row r="1364">
      <c r="I1364" s="5"/>
      <c r="K1364" s="5"/>
      <c r="Q1364" s="5"/>
    </row>
    <row r="1365">
      <c r="I1365" s="5"/>
      <c r="K1365" s="5"/>
      <c r="Q1365" s="5"/>
    </row>
    <row r="1366">
      <c r="I1366" s="5"/>
      <c r="K1366" s="5"/>
      <c r="Q1366" s="5"/>
    </row>
    <row r="1367">
      <c r="I1367" s="5"/>
      <c r="K1367" s="5"/>
      <c r="Q1367" s="5"/>
    </row>
    <row r="1368">
      <c r="I1368" s="5"/>
      <c r="K1368" s="5"/>
      <c r="Q1368" s="5"/>
    </row>
    <row r="1369">
      <c r="I1369" s="5"/>
      <c r="K1369" s="5"/>
      <c r="Q1369" s="5"/>
    </row>
    <row r="1370">
      <c r="I1370" s="5"/>
      <c r="K1370" s="5"/>
      <c r="Q1370" s="5"/>
    </row>
    <row r="1371">
      <c r="I1371" s="5"/>
      <c r="K1371" s="5"/>
      <c r="Q1371" s="5"/>
    </row>
    <row r="1372">
      <c r="I1372" s="5"/>
      <c r="K1372" s="5"/>
      <c r="Q1372" s="5"/>
    </row>
    <row r="1373">
      <c r="I1373" s="5"/>
      <c r="K1373" s="5"/>
      <c r="Q1373" s="5"/>
    </row>
    <row r="1374">
      <c r="I1374" s="5"/>
      <c r="K1374" s="5"/>
      <c r="Q1374" s="5"/>
    </row>
    <row r="1375">
      <c r="I1375" s="5"/>
      <c r="K1375" s="5"/>
      <c r="Q1375" s="5"/>
    </row>
    <row r="1376">
      <c r="I1376" s="5"/>
      <c r="K1376" s="5"/>
      <c r="Q1376" s="5"/>
    </row>
    <row r="1377">
      <c r="I1377" s="5"/>
      <c r="K1377" s="5"/>
      <c r="Q1377" s="5"/>
    </row>
    <row r="1378">
      <c r="I1378" s="5"/>
      <c r="K1378" s="5"/>
      <c r="Q1378" s="5"/>
    </row>
    <row r="1379">
      <c r="I1379" s="5"/>
      <c r="K1379" s="5"/>
      <c r="Q1379" s="5"/>
    </row>
    <row r="1380">
      <c r="I1380" s="5"/>
      <c r="K1380" s="5"/>
      <c r="Q1380" s="5"/>
    </row>
    <row r="1381">
      <c r="I1381" s="5"/>
      <c r="K1381" s="5"/>
      <c r="Q1381" s="5"/>
    </row>
    <row r="1382">
      <c r="I1382" s="5"/>
      <c r="K1382" s="5"/>
      <c r="Q1382" s="5"/>
    </row>
    <row r="1383">
      <c r="I1383" s="5"/>
      <c r="K1383" s="5"/>
      <c r="Q1383" s="5"/>
    </row>
    <row r="1384">
      <c r="I1384" s="5"/>
      <c r="K1384" s="5"/>
      <c r="Q1384" s="5"/>
    </row>
    <row r="1385">
      <c r="I1385" s="5"/>
      <c r="K1385" s="5"/>
      <c r="Q1385" s="5"/>
    </row>
    <row r="1386">
      <c r="I1386" s="5"/>
      <c r="K1386" s="5"/>
      <c r="Q1386" s="5"/>
    </row>
    <row r="1387">
      <c r="I1387" s="5"/>
      <c r="K1387" s="5"/>
      <c r="Q1387" s="5"/>
    </row>
    <row r="1388">
      <c r="I1388" s="5"/>
      <c r="K1388" s="5"/>
      <c r="Q1388" s="5"/>
    </row>
    <row r="1389">
      <c r="I1389" s="5"/>
      <c r="K1389" s="5"/>
      <c r="Q1389" s="5"/>
    </row>
    <row r="1390">
      <c r="I1390" s="5"/>
      <c r="K1390" s="5"/>
      <c r="Q1390" s="5"/>
    </row>
    <row r="1391">
      <c r="I1391" s="5"/>
      <c r="K1391" s="5"/>
      <c r="Q1391" s="5"/>
    </row>
    <row r="1392">
      <c r="I1392" s="5"/>
      <c r="K1392" s="5"/>
      <c r="Q1392" s="5"/>
    </row>
    <row r="1393">
      <c r="I1393" s="5"/>
      <c r="K1393" s="5"/>
      <c r="Q1393" s="5"/>
    </row>
    <row r="1394">
      <c r="I1394" s="5"/>
      <c r="K1394" s="5"/>
      <c r="Q1394" s="5"/>
    </row>
    <row r="1395">
      <c r="I1395" s="5"/>
      <c r="K1395" s="5"/>
      <c r="Q1395" s="5"/>
    </row>
    <row r="1396">
      <c r="I1396" s="5"/>
      <c r="K1396" s="5"/>
      <c r="Q1396" s="5"/>
    </row>
    <row r="1397">
      <c r="I1397" s="5"/>
      <c r="K1397" s="5"/>
      <c r="Q1397" s="5"/>
    </row>
    <row r="1398">
      <c r="I1398" s="5"/>
      <c r="K1398" s="5"/>
      <c r="Q1398" s="5"/>
    </row>
    <row r="1399">
      <c r="I1399" s="5"/>
      <c r="K1399" s="5"/>
      <c r="Q1399" s="5"/>
    </row>
    <row r="1400">
      <c r="I1400" s="5"/>
      <c r="K1400" s="5"/>
      <c r="Q1400" s="5"/>
    </row>
    <row r="1401">
      <c r="I1401" s="5"/>
      <c r="K1401" s="5"/>
      <c r="Q1401" s="5"/>
    </row>
    <row r="1402">
      <c r="I1402" s="5"/>
      <c r="K1402" s="5"/>
      <c r="Q1402" s="5"/>
    </row>
    <row r="1403">
      <c r="I1403" s="5"/>
      <c r="K1403" s="5"/>
      <c r="Q1403" s="5"/>
    </row>
    <row r="1404">
      <c r="I1404" s="5"/>
      <c r="K1404" s="5"/>
      <c r="Q1404" s="5"/>
    </row>
    <row r="1405">
      <c r="I1405" s="5"/>
      <c r="K1405" s="5"/>
      <c r="Q1405" s="5"/>
    </row>
    <row r="1406">
      <c r="I1406" s="5"/>
      <c r="K1406" s="5"/>
      <c r="Q1406" s="5"/>
    </row>
    <row r="1407">
      <c r="I1407" s="5"/>
      <c r="K1407" s="5"/>
      <c r="Q1407" s="5"/>
    </row>
    <row r="1408">
      <c r="I1408" s="5"/>
      <c r="K1408" s="5"/>
      <c r="Q1408" s="5"/>
    </row>
    <row r="1409">
      <c r="I1409" s="5"/>
      <c r="K1409" s="5"/>
      <c r="Q1409" s="5"/>
    </row>
    <row r="1410">
      <c r="I1410" s="5"/>
      <c r="K1410" s="5"/>
      <c r="Q1410" s="5"/>
    </row>
    <row r="1411">
      <c r="I1411" s="5"/>
      <c r="K1411" s="5"/>
      <c r="Q1411" s="5"/>
    </row>
    <row r="1412">
      <c r="I1412" s="5"/>
      <c r="K1412" s="5"/>
      <c r="Q1412" s="5"/>
    </row>
    <row r="1413">
      <c r="I1413" s="5"/>
      <c r="K1413" s="5"/>
      <c r="Q1413" s="5"/>
    </row>
    <row r="1414">
      <c r="I1414" s="5"/>
      <c r="K1414" s="5"/>
      <c r="Q1414" s="5"/>
    </row>
    <row r="1415">
      <c r="I1415" s="5"/>
      <c r="K1415" s="5"/>
      <c r="Q1415" s="5"/>
    </row>
    <row r="1416">
      <c r="I1416" s="5"/>
      <c r="K1416" s="5"/>
      <c r="Q1416" s="5"/>
    </row>
    <row r="1417">
      <c r="I1417" s="5"/>
      <c r="K1417" s="5"/>
      <c r="Q1417" s="5"/>
    </row>
    <row r="1418">
      <c r="I1418" s="5"/>
      <c r="K1418" s="5"/>
      <c r="Q1418" s="5"/>
    </row>
    <row r="1419">
      <c r="I1419" s="5"/>
      <c r="K1419" s="5"/>
      <c r="Q1419" s="5"/>
    </row>
    <row r="1420">
      <c r="I1420" s="5"/>
      <c r="K1420" s="5"/>
      <c r="Q1420" s="5"/>
    </row>
    <row r="1421">
      <c r="I1421" s="5"/>
      <c r="K1421" s="5"/>
      <c r="Q1421" s="5"/>
    </row>
    <row r="1422">
      <c r="I1422" s="5"/>
      <c r="K1422" s="5"/>
      <c r="Q1422" s="5"/>
    </row>
    <row r="1423">
      <c r="I1423" s="5"/>
      <c r="K1423" s="5"/>
      <c r="Q1423" s="5"/>
    </row>
    <row r="1424">
      <c r="I1424" s="5"/>
      <c r="K1424" s="5"/>
      <c r="Q1424" s="5"/>
    </row>
    <row r="1425">
      <c r="I1425" s="5"/>
      <c r="K1425" s="5"/>
      <c r="Q1425" s="5"/>
    </row>
    <row r="1426">
      <c r="I1426" s="5"/>
      <c r="K1426" s="5"/>
      <c r="Q1426" s="5"/>
    </row>
    <row r="1427">
      <c r="I1427" s="5"/>
      <c r="K1427" s="5"/>
      <c r="Q1427" s="5"/>
    </row>
    <row r="1428">
      <c r="I1428" s="5"/>
      <c r="K1428" s="5"/>
      <c r="Q1428" s="5"/>
    </row>
    <row r="1429">
      <c r="I1429" s="5"/>
      <c r="K1429" s="5"/>
      <c r="Q1429" s="5"/>
    </row>
    <row r="1430">
      <c r="I1430" s="5"/>
      <c r="K1430" s="5"/>
      <c r="Q1430" s="5"/>
    </row>
    <row r="1431">
      <c r="I1431" s="5"/>
      <c r="K1431" s="5"/>
      <c r="Q1431" s="5"/>
    </row>
    <row r="1432">
      <c r="I1432" s="5"/>
      <c r="K1432" s="5"/>
      <c r="Q1432" s="5"/>
    </row>
    <row r="1433">
      <c r="I1433" s="5"/>
      <c r="K1433" s="5"/>
      <c r="Q1433" s="5"/>
    </row>
    <row r="1434">
      <c r="I1434" s="5"/>
      <c r="K1434" s="5"/>
      <c r="Q1434" s="5"/>
    </row>
    <row r="1435">
      <c r="I1435" s="5"/>
      <c r="K1435" s="5"/>
      <c r="Q1435" s="5"/>
    </row>
    <row r="1436">
      <c r="I1436" s="5"/>
      <c r="K1436" s="5"/>
      <c r="Q1436" s="5"/>
    </row>
    <row r="1437">
      <c r="I1437" s="5"/>
      <c r="K1437" s="5"/>
      <c r="Q1437" s="5"/>
    </row>
    <row r="1438">
      <c r="I1438" s="5"/>
      <c r="K1438" s="5"/>
      <c r="Q1438" s="5"/>
    </row>
    <row r="1439">
      <c r="I1439" s="5"/>
      <c r="K1439" s="5"/>
      <c r="Q1439" s="5"/>
    </row>
    <row r="1440">
      <c r="I1440" s="5"/>
      <c r="K1440" s="5"/>
      <c r="Q1440" s="5"/>
    </row>
    <row r="1441">
      <c r="I1441" s="5"/>
      <c r="K1441" s="5"/>
      <c r="Q1441" s="5"/>
    </row>
    <row r="1442">
      <c r="I1442" s="5"/>
      <c r="K1442" s="5"/>
      <c r="Q1442" s="5"/>
    </row>
    <row r="1443">
      <c r="I1443" s="5"/>
      <c r="K1443" s="5"/>
      <c r="Q1443" s="5"/>
    </row>
    <row r="1444">
      <c r="I1444" s="5"/>
      <c r="K1444" s="5"/>
      <c r="Q1444" s="5"/>
    </row>
    <row r="1445">
      <c r="I1445" s="5"/>
      <c r="K1445" s="5"/>
      <c r="Q1445" s="5"/>
    </row>
    <row r="1446">
      <c r="I1446" s="5"/>
      <c r="K1446" s="5"/>
      <c r="Q1446" s="5"/>
    </row>
    <row r="1447">
      <c r="I1447" s="5"/>
      <c r="K1447" s="5"/>
      <c r="Q1447" s="5"/>
    </row>
    <row r="1448">
      <c r="I1448" s="5"/>
      <c r="K1448" s="5"/>
      <c r="Q1448" s="5"/>
    </row>
    <row r="1449">
      <c r="I1449" s="5"/>
      <c r="K1449" s="5"/>
      <c r="Q1449" s="5"/>
    </row>
    <row r="1450">
      <c r="I1450" s="5"/>
      <c r="K1450" s="5"/>
      <c r="Q1450" s="5"/>
    </row>
    <row r="1451">
      <c r="I1451" s="5"/>
      <c r="K1451" s="5"/>
      <c r="Q1451" s="5"/>
    </row>
    <row r="1452">
      <c r="I1452" s="5"/>
      <c r="K1452" s="5"/>
      <c r="Q1452" s="5"/>
    </row>
    <row r="1453">
      <c r="I1453" s="5"/>
      <c r="K1453" s="5"/>
      <c r="Q1453" s="5"/>
    </row>
    <row r="1454">
      <c r="I1454" s="5"/>
      <c r="K1454" s="5"/>
      <c r="Q1454" s="5"/>
    </row>
    <row r="1455">
      <c r="I1455" s="5"/>
      <c r="K1455" s="5"/>
      <c r="Q1455" s="5"/>
    </row>
    <row r="1456">
      <c r="I1456" s="5"/>
      <c r="K1456" s="5"/>
      <c r="Q1456" s="5"/>
    </row>
    <row r="1457">
      <c r="I1457" s="5"/>
      <c r="K1457" s="5"/>
      <c r="Q1457" s="5"/>
    </row>
    <row r="1458">
      <c r="I1458" s="5"/>
      <c r="K1458" s="5"/>
      <c r="Q1458" s="5"/>
    </row>
    <row r="1459">
      <c r="I1459" s="5"/>
      <c r="K1459" s="5"/>
      <c r="Q1459" s="5"/>
    </row>
    <row r="1460">
      <c r="I1460" s="5"/>
      <c r="K1460" s="5"/>
      <c r="Q1460" s="5"/>
    </row>
    <row r="1461">
      <c r="I1461" s="5"/>
      <c r="K1461" s="5"/>
      <c r="Q1461" s="5"/>
    </row>
    <row r="1462">
      <c r="I1462" s="5"/>
      <c r="K1462" s="5"/>
      <c r="Q1462" s="5"/>
    </row>
    <row r="1463">
      <c r="I1463" s="5"/>
      <c r="K1463" s="5"/>
      <c r="Q1463" s="5"/>
    </row>
    <row r="1464">
      <c r="I1464" s="5"/>
      <c r="K1464" s="5"/>
      <c r="Q1464" s="5"/>
    </row>
    <row r="1465">
      <c r="I1465" s="5"/>
      <c r="K1465" s="5"/>
      <c r="Q1465" s="5"/>
    </row>
    <row r="1466">
      <c r="I1466" s="5"/>
      <c r="K1466" s="5"/>
      <c r="Q1466" s="5"/>
    </row>
    <row r="1467">
      <c r="I1467" s="5"/>
      <c r="K1467" s="5"/>
      <c r="Q1467" s="5"/>
    </row>
    <row r="1468">
      <c r="I1468" s="5"/>
      <c r="K1468" s="5"/>
      <c r="Q1468" s="5"/>
    </row>
    <row r="1469">
      <c r="I1469" s="5"/>
      <c r="K1469" s="5"/>
      <c r="Q1469" s="5"/>
    </row>
    <row r="1470">
      <c r="I1470" s="5"/>
      <c r="K1470" s="5"/>
      <c r="Q1470" s="5"/>
    </row>
    <row r="1471">
      <c r="I1471" s="5"/>
      <c r="K1471" s="5"/>
      <c r="Q1471" s="5"/>
    </row>
    <row r="1472">
      <c r="I1472" s="5"/>
      <c r="K1472" s="5"/>
      <c r="Q1472" s="5"/>
    </row>
    <row r="1473">
      <c r="I1473" s="5"/>
      <c r="K1473" s="5"/>
      <c r="Q1473" s="5"/>
    </row>
    <row r="1474">
      <c r="I1474" s="5"/>
      <c r="K1474" s="5"/>
      <c r="Q1474" s="5"/>
    </row>
    <row r="1475">
      <c r="I1475" s="5"/>
      <c r="K1475" s="5"/>
      <c r="Q1475" s="5"/>
    </row>
    <row r="1476">
      <c r="I1476" s="5"/>
      <c r="K1476" s="5"/>
      <c r="Q1476" s="5"/>
    </row>
    <row r="1477">
      <c r="I1477" s="5"/>
      <c r="K1477" s="5"/>
      <c r="Q1477" s="5"/>
    </row>
    <row r="1478">
      <c r="I1478" s="5"/>
      <c r="K1478" s="5"/>
      <c r="Q1478" s="5"/>
    </row>
    <row r="1479">
      <c r="I1479" s="5"/>
      <c r="K1479" s="5"/>
      <c r="Q1479" s="5"/>
    </row>
    <row r="1480">
      <c r="I1480" s="5"/>
      <c r="K1480" s="5"/>
      <c r="Q1480" s="5"/>
    </row>
    <row r="1481">
      <c r="I1481" s="5"/>
      <c r="K1481" s="5"/>
      <c r="Q1481" s="5"/>
    </row>
    <row r="1482">
      <c r="I1482" s="5"/>
      <c r="K1482" s="5"/>
      <c r="Q1482" s="5"/>
    </row>
    <row r="1483">
      <c r="I1483" s="5"/>
      <c r="K1483" s="5"/>
      <c r="Q1483" s="5"/>
    </row>
    <row r="1484">
      <c r="I1484" s="5"/>
      <c r="K1484" s="5"/>
      <c r="Q1484" s="5"/>
    </row>
    <row r="1485">
      <c r="I1485" s="5"/>
      <c r="K1485" s="5"/>
      <c r="Q1485" s="5"/>
    </row>
    <row r="1486">
      <c r="I1486" s="5"/>
      <c r="K1486" s="5"/>
      <c r="Q1486" s="5"/>
    </row>
    <row r="1487">
      <c r="I1487" s="5"/>
      <c r="K1487" s="5"/>
      <c r="Q1487" s="5"/>
    </row>
    <row r="1488">
      <c r="I1488" s="5"/>
      <c r="K1488" s="5"/>
      <c r="Q1488" s="5"/>
    </row>
    <row r="1489">
      <c r="I1489" s="5"/>
      <c r="K1489" s="5"/>
      <c r="Q1489" s="5"/>
    </row>
    <row r="1490">
      <c r="I1490" s="5"/>
      <c r="K1490" s="5"/>
      <c r="Q1490" s="5"/>
    </row>
    <row r="1491">
      <c r="I1491" s="5"/>
      <c r="K1491" s="5"/>
      <c r="Q1491" s="5"/>
    </row>
    <row r="1492">
      <c r="I1492" s="5"/>
      <c r="K1492" s="5"/>
      <c r="Q1492" s="5"/>
    </row>
    <row r="1493">
      <c r="I1493" s="5"/>
      <c r="K1493" s="5"/>
      <c r="Q1493" s="5"/>
    </row>
    <row r="1494">
      <c r="I1494" s="5"/>
      <c r="K1494" s="5"/>
      <c r="Q1494" s="5"/>
    </row>
    <row r="1495">
      <c r="I1495" s="5"/>
      <c r="K1495" s="5"/>
      <c r="Q1495" s="5"/>
    </row>
    <row r="1496">
      <c r="I1496" s="5"/>
      <c r="K1496" s="5"/>
      <c r="Q1496" s="5"/>
    </row>
    <row r="1497">
      <c r="I1497" s="5"/>
      <c r="K1497" s="5"/>
      <c r="Q1497" s="5"/>
    </row>
    <row r="1498">
      <c r="I1498" s="5"/>
      <c r="K1498" s="5"/>
      <c r="Q1498" s="5"/>
    </row>
    <row r="1499">
      <c r="I1499" s="5"/>
      <c r="K1499" s="5"/>
      <c r="Q1499" s="5"/>
    </row>
    <row r="1500">
      <c r="I1500" s="5"/>
      <c r="K1500" s="5"/>
      <c r="Q1500" s="5"/>
    </row>
    <row r="1501">
      <c r="I1501" s="5"/>
      <c r="K1501" s="5"/>
      <c r="Q1501" s="5"/>
    </row>
    <row r="1502">
      <c r="I1502" s="5"/>
      <c r="K1502" s="5"/>
      <c r="Q1502" s="5"/>
    </row>
    <row r="1503">
      <c r="I1503" s="5"/>
      <c r="K1503" s="5"/>
      <c r="Q1503" s="5"/>
    </row>
    <row r="1504">
      <c r="I1504" s="5"/>
      <c r="K1504" s="5"/>
      <c r="Q1504" s="5"/>
    </row>
    <row r="1505">
      <c r="I1505" s="5"/>
      <c r="K1505" s="5"/>
      <c r="Q1505" s="5"/>
    </row>
    <row r="1506">
      <c r="I1506" s="5"/>
      <c r="K1506" s="5"/>
      <c r="Q1506" s="5"/>
    </row>
    <row r="1507">
      <c r="I1507" s="5"/>
      <c r="K1507" s="5"/>
      <c r="Q1507" s="5"/>
    </row>
    <row r="1508">
      <c r="I1508" s="5"/>
      <c r="K1508" s="5"/>
      <c r="Q1508" s="5"/>
    </row>
    <row r="1509">
      <c r="I1509" s="5"/>
      <c r="K1509" s="5"/>
      <c r="Q1509" s="5"/>
    </row>
    <row r="1510">
      <c r="I1510" s="5"/>
      <c r="K1510" s="5"/>
      <c r="Q1510" s="5"/>
    </row>
    <row r="1511">
      <c r="I1511" s="5"/>
      <c r="K1511" s="5"/>
      <c r="Q1511" s="5"/>
    </row>
    <row r="1512">
      <c r="I1512" s="5"/>
      <c r="K1512" s="5"/>
      <c r="Q1512" s="5"/>
    </row>
    <row r="1513">
      <c r="I1513" s="5"/>
      <c r="K1513" s="5"/>
      <c r="Q1513" s="5"/>
    </row>
    <row r="1514">
      <c r="I1514" s="5"/>
      <c r="K1514" s="5"/>
      <c r="Q1514" s="5"/>
    </row>
    <row r="1515">
      <c r="I1515" s="5"/>
      <c r="K1515" s="5"/>
      <c r="Q1515" s="5"/>
    </row>
    <row r="1516">
      <c r="I1516" s="5"/>
      <c r="K1516" s="5"/>
      <c r="Q1516" s="5"/>
    </row>
    <row r="1517">
      <c r="I1517" s="5"/>
      <c r="K1517" s="5"/>
      <c r="Q1517" s="5"/>
    </row>
    <row r="1518">
      <c r="I1518" s="5"/>
      <c r="K1518" s="5"/>
      <c r="Q1518" s="5"/>
    </row>
    <row r="1519">
      <c r="I1519" s="5"/>
      <c r="K1519" s="5"/>
      <c r="Q1519" s="5"/>
    </row>
    <row r="1520">
      <c r="I1520" s="5"/>
      <c r="K1520" s="5"/>
      <c r="Q1520" s="5"/>
    </row>
    <row r="1521">
      <c r="I1521" s="5"/>
      <c r="K1521" s="5"/>
      <c r="Q1521" s="5"/>
    </row>
    <row r="1522">
      <c r="I1522" s="5"/>
      <c r="K1522" s="5"/>
      <c r="Q1522" s="5"/>
    </row>
    <row r="1523">
      <c r="I1523" s="5"/>
      <c r="K1523" s="5"/>
      <c r="Q1523" s="5"/>
    </row>
    <row r="1524">
      <c r="I1524" s="5"/>
      <c r="K1524" s="5"/>
      <c r="Q1524" s="5"/>
    </row>
    <row r="1525">
      <c r="I1525" s="5"/>
      <c r="K1525" s="5"/>
      <c r="Q1525" s="5"/>
    </row>
    <row r="1526">
      <c r="I1526" s="5"/>
      <c r="K1526" s="5"/>
      <c r="Q1526" s="5"/>
    </row>
    <row r="1527">
      <c r="I1527" s="5"/>
      <c r="K1527" s="5"/>
      <c r="Q1527" s="5"/>
    </row>
    <row r="1528">
      <c r="I1528" s="5"/>
      <c r="K1528" s="5"/>
      <c r="Q1528" s="5"/>
    </row>
    <row r="1529">
      <c r="I1529" s="5"/>
      <c r="K1529" s="5"/>
      <c r="Q1529" s="5"/>
    </row>
    <row r="1530">
      <c r="I1530" s="5"/>
      <c r="K1530" s="5"/>
      <c r="Q1530" s="5"/>
    </row>
    <row r="1531">
      <c r="I1531" s="5"/>
      <c r="K1531" s="5"/>
      <c r="Q1531" s="5"/>
    </row>
    <row r="1532">
      <c r="I1532" s="5"/>
      <c r="K1532" s="5"/>
      <c r="Q1532" s="5"/>
    </row>
    <row r="1533">
      <c r="I1533" s="5"/>
      <c r="K1533" s="5"/>
      <c r="Q1533" s="5"/>
    </row>
    <row r="1534">
      <c r="I1534" s="5"/>
      <c r="K1534" s="5"/>
      <c r="Q1534" s="5"/>
    </row>
    <row r="1535">
      <c r="I1535" s="5"/>
      <c r="K1535" s="5"/>
      <c r="Q1535" s="5"/>
    </row>
    <row r="1536">
      <c r="I1536" s="5"/>
      <c r="K1536" s="5"/>
      <c r="Q1536" s="5"/>
    </row>
    <row r="1537">
      <c r="I1537" s="5"/>
      <c r="K1537" s="5"/>
      <c r="Q1537" s="5"/>
    </row>
    <row r="1538">
      <c r="I1538" s="5"/>
      <c r="K1538" s="5"/>
      <c r="Q1538" s="5"/>
    </row>
    <row r="1539">
      <c r="I1539" s="5"/>
      <c r="K1539" s="5"/>
      <c r="Q1539" s="5"/>
    </row>
    <row r="1540">
      <c r="I1540" s="5"/>
      <c r="K1540" s="5"/>
      <c r="Q1540" s="5"/>
    </row>
    <row r="1541">
      <c r="I1541" s="5"/>
      <c r="K1541" s="5"/>
      <c r="Q1541" s="5"/>
    </row>
    <row r="1542">
      <c r="I1542" s="5"/>
      <c r="K1542" s="5"/>
      <c r="Q1542" s="5"/>
    </row>
    <row r="1543">
      <c r="I1543" s="5"/>
      <c r="K1543" s="5"/>
      <c r="Q1543" s="5"/>
    </row>
    <row r="1544">
      <c r="I1544" s="5"/>
      <c r="K1544" s="5"/>
      <c r="Q1544" s="5"/>
    </row>
    <row r="1545">
      <c r="I1545" s="5"/>
      <c r="K1545" s="5"/>
      <c r="Q1545" s="5"/>
    </row>
    <row r="1546">
      <c r="I1546" s="5"/>
      <c r="K1546" s="5"/>
      <c r="Q1546" s="5"/>
    </row>
    <row r="1547">
      <c r="I1547" s="5"/>
      <c r="K1547" s="5"/>
      <c r="Q1547" s="5"/>
    </row>
    <row r="1548">
      <c r="I1548" s="5"/>
      <c r="K1548" s="5"/>
      <c r="Q1548" s="5"/>
    </row>
    <row r="1549">
      <c r="I1549" s="5"/>
      <c r="K1549" s="5"/>
      <c r="Q1549" s="5"/>
    </row>
    <row r="1550">
      <c r="I1550" s="5"/>
      <c r="K1550" s="5"/>
      <c r="Q1550" s="5"/>
    </row>
    <row r="1551">
      <c r="I1551" s="5"/>
      <c r="K1551" s="5"/>
      <c r="Q1551" s="5"/>
    </row>
    <row r="1552">
      <c r="I1552" s="5"/>
      <c r="K1552" s="5"/>
      <c r="Q1552" s="5"/>
    </row>
    <row r="1553">
      <c r="I1553" s="5"/>
      <c r="K1553" s="5"/>
      <c r="Q1553" s="5"/>
    </row>
    <row r="1554">
      <c r="I1554" s="5"/>
      <c r="K1554" s="5"/>
      <c r="Q1554" s="5"/>
    </row>
    <row r="1555">
      <c r="I1555" s="5"/>
      <c r="K1555" s="5"/>
      <c r="Q1555" s="5"/>
    </row>
    <row r="1556">
      <c r="I1556" s="5"/>
      <c r="K1556" s="5"/>
      <c r="Q1556" s="5"/>
    </row>
    <row r="1557">
      <c r="I1557" s="5"/>
      <c r="K1557" s="5"/>
      <c r="Q1557" s="5"/>
    </row>
    <row r="1558">
      <c r="I1558" s="5"/>
      <c r="K1558" s="5"/>
      <c r="Q1558" s="5"/>
    </row>
    <row r="1559">
      <c r="I1559" s="5"/>
      <c r="K1559" s="5"/>
      <c r="Q1559" s="5"/>
    </row>
    <row r="1560">
      <c r="I1560" s="5"/>
      <c r="K1560" s="5"/>
      <c r="Q1560" s="5"/>
    </row>
    <row r="1561">
      <c r="I1561" s="5"/>
      <c r="K1561" s="5"/>
      <c r="Q1561" s="5"/>
    </row>
    <row r="1562">
      <c r="I1562" s="5"/>
      <c r="K1562" s="5"/>
      <c r="Q1562" s="5"/>
    </row>
    <row r="1563">
      <c r="I1563" s="5"/>
      <c r="K1563" s="5"/>
      <c r="Q1563" s="5"/>
    </row>
    <row r="1564">
      <c r="I1564" s="5"/>
      <c r="K1564" s="5"/>
      <c r="Q1564" s="5"/>
    </row>
    <row r="1565">
      <c r="I1565" s="5"/>
      <c r="K1565" s="5"/>
      <c r="Q1565" s="5"/>
    </row>
    <row r="1566">
      <c r="I1566" s="5"/>
      <c r="K1566" s="5"/>
      <c r="Q1566" s="5"/>
    </row>
    <row r="1567">
      <c r="I1567" s="5"/>
      <c r="K1567" s="5"/>
      <c r="Q1567" s="5"/>
    </row>
    <row r="1568">
      <c r="I1568" s="5"/>
      <c r="K1568" s="5"/>
      <c r="Q1568" s="5"/>
    </row>
    <row r="1569">
      <c r="I1569" s="5"/>
      <c r="K1569" s="5"/>
      <c r="Q1569" s="5"/>
    </row>
    <row r="1570">
      <c r="I1570" s="5"/>
      <c r="K1570" s="5"/>
      <c r="Q1570" s="5"/>
    </row>
    <row r="1571">
      <c r="I1571" s="5"/>
      <c r="K1571" s="5"/>
      <c r="Q1571" s="5"/>
    </row>
    <row r="1572">
      <c r="I1572" s="5"/>
      <c r="K1572" s="5"/>
      <c r="Q1572" s="5"/>
    </row>
    <row r="1573">
      <c r="I1573" s="5"/>
      <c r="K1573" s="5"/>
      <c r="Q1573" s="5"/>
    </row>
    <row r="1574">
      <c r="I1574" s="5"/>
      <c r="K1574" s="5"/>
      <c r="Q1574" s="5"/>
    </row>
    <row r="1575">
      <c r="I1575" s="5"/>
      <c r="K1575" s="5"/>
      <c r="Q1575" s="5"/>
    </row>
    <row r="1576">
      <c r="I1576" s="5"/>
      <c r="K1576" s="5"/>
      <c r="Q1576" s="5"/>
    </row>
    <row r="1577">
      <c r="I1577" s="5"/>
      <c r="K1577" s="5"/>
      <c r="Q1577" s="5"/>
    </row>
    <row r="1578">
      <c r="I1578" s="5"/>
      <c r="K1578" s="5"/>
      <c r="Q1578" s="5"/>
    </row>
    <row r="1579">
      <c r="I1579" s="5"/>
      <c r="K1579" s="5"/>
      <c r="Q1579" s="5"/>
    </row>
    <row r="1580">
      <c r="I1580" s="5"/>
      <c r="K1580" s="5"/>
      <c r="Q1580" s="5"/>
    </row>
    <row r="1581">
      <c r="I1581" s="5"/>
      <c r="K1581" s="5"/>
      <c r="Q1581" s="5"/>
    </row>
    <row r="1582">
      <c r="I1582" s="5"/>
      <c r="K1582" s="5"/>
      <c r="Q1582" s="5"/>
    </row>
    <row r="1583">
      <c r="I1583" s="5"/>
      <c r="K1583" s="5"/>
      <c r="Q1583" s="5"/>
    </row>
    <row r="1584">
      <c r="I1584" s="5"/>
      <c r="K1584" s="5"/>
      <c r="Q1584" s="5"/>
    </row>
    <row r="1585">
      <c r="I1585" s="5"/>
      <c r="K1585" s="5"/>
      <c r="Q1585" s="5"/>
    </row>
    <row r="1586">
      <c r="I1586" s="5"/>
      <c r="K1586" s="5"/>
      <c r="Q1586" s="5"/>
    </row>
    <row r="1587">
      <c r="I1587" s="5"/>
      <c r="K1587" s="5"/>
      <c r="Q1587" s="5"/>
    </row>
    <row r="1588">
      <c r="I1588" s="5"/>
      <c r="K1588" s="5"/>
      <c r="Q1588" s="5"/>
    </row>
    <row r="1589">
      <c r="I1589" s="5"/>
      <c r="K1589" s="5"/>
      <c r="Q1589" s="5"/>
    </row>
    <row r="1590">
      <c r="I1590" s="5"/>
      <c r="K1590" s="5"/>
      <c r="Q1590" s="5"/>
    </row>
    <row r="1591">
      <c r="I1591" s="5"/>
      <c r="K1591" s="5"/>
      <c r="Q1591" s="5"/>
    </row>
    <row r="1592">
      <c r="I1592" s="5"/>
      <c r="K1592" s="5"/>
      <c r="Q1592" s="5"/>
    </row>
    <row r="1593">
      <c r="I1593" s="5"/>
      <c r="K1593" s="5"/>
      <c r="Q1593" s="5"/>
    </row>
    <row r="1594">
      <c r="I1594" s="5"/>
      <c r="K1594" s="5"/>
      <c r="Q1594" s="5"/>
    </row>
    <row r="1595">
      <c r="I1595" s="5"/>
      <c r="K1595" s="5"/>
      <c r="Q1595" s="5"/>
    </row>
    <row r="1596">
      <c r="I1596" s="5"/>
      <c r="K1596" s="5"/>
      <c r="Q1596" s="5"/>
    </row>
    <row r="1597">
      <c r="I1597" s="5"/>
      <c r="K1597" s="5"/>
      <c r="Q1597" s="5"/>
    </row>
    <row r="1598">
      <c r="I1598" s="5"/>
      <c r="K1598" s="5"/>
      <c r="Q1598" s="5"/>
    </row>
    <row r="1599">
      <c r="I1599" s="5"/>
      <c r="K1599" s="5"/>
      <c r="Q1599" s="5"/>
    </row>
    <row r="1600">
      <c r="I1600" s="5"/>
      <c r="K1600" s="5"/>
      <c r="Q1600" s="5"/>
    </row>
    <row r="1601">
      <c r="I1601" s="5"/>
      <c r="K1601" s="5"/>
      <c r="Q1601" s="5"/>
    </row>
    <row r="1602">
      <c r="I1602" s="5"/>
      <c r="K1602" s="5"/>
      <c r="Q1602" s="5"/>
    </row>
    <row r="1603">
      <c r="I1603" s="5"/>
      <c r="K1603" s="5"/>
      <c r="Q1603" s="5"/>
    </row>
    <row r="1604">
      <c r="I1604" s="5"/>
      <c r="K1604" s="5"/>
      <c r="Q1604" s="5"/>
    </row>
    <row r="1605">
      <c r="I1605" s="5"/>
      <c r="K1605" s="5"/>
      <c r="Q1605" s="5"/>
    </row>
    <row r="1606">
      <c r="I1606" s="5"/>
      <c r="K1606" s="5"/>
      <c r="Q1606" s="5"/>
    </row>
    <row r="1607">
      <c r="I1607" s="5"/>
      <c r="K1607" s="5"/>
      <c r="Q1607" s="5"/>
    </row>
    <row r="1608">
      <c r="I1608" s="5"/>
      <c r="K1608" s="5"/>
      <c r="Q1608" s="5"/>
    </row>
    <row r="1609">
      <c r="I1609" s="5"/>
      <c r="K1609" s="5"/>
      <c r="Q1609" s="5"/>
    </row>
    <row r="1610">
      <c r="I1610" s="5"/>
      <c r="K1610" s="5"/>
      <c r="Q1610" s="5"/>
    </row>
    <row r="1611">
      <c r="I1611" s="5"/>
      <c r="K1611" s="5"/>
      <c r="Q1611" s="5"/>
    </row>
    <row r="1612">
      <c r="I1612" s="5"/>
      <c r="K1612" s="5"/>
      <c r="Q1612" s="5"/>
    </row>
    <row r="1613">
      <c r="I1613" s="5"/>
      <c r="K1613" s="5"/>
      <c r="Q1613" s="5"/>
    </row>
    <row r="1614">
      <c r="I1614" s="5"/>
      <c r="K1614" s="5"/>
      <c r="Q1614" s="5"/>
    </row>
    <row r="1615">
      <c r="I1615" s="5"/>
      <c r="K1615" s="5"/>
      <c r="Q1615" s="5"/>
    </row>
    <row r="1616">
      <c r="I1616" s="5"/>
      <c r="K1616" s="5"/>
      <c r="Q1616" s="5"/>
    </row>
    <row r="1617">
      <c r="I1617" s="5"/>
      <c r="K1617" s="5"/>
      <c r="Q1617" s="5"/>
    </row>
    <row r="1618">
      <c r="I1618" s="5"/>
      <c r="K1618" s="5"/>
      <c r="Q1618" s="5"/>
    </row>
    <row r="1619">
      <c r="I1619" s="5"/>
      <c r="K1619" s="5"/>
      <c r="Q1619" s="5"/>
    </row>
    <row r="1620">
      <c r="I1620" s="5"/>
      <c r="K1620" s="5"/>
      <c r="Q1620" s="5"/>
    </row>
    <row r="1621">
      <c r="I1621" s="5"/>
      <c r="K1621" s="5"/>
      <c r="Q1621" s="5"/>
    </row>
    <row r="1622">
      <c r="I1622" s="5"/>
      <c r="K1622" s="5"/>
      <c r="Q1622" s="5"/>
    </row>
    <row r="1623">
      <c r="I1623" s="5"/>
      <c r="K1623" s="5"/>
      <c r="Q1623" s="5"/>
    </row>
    <row r="1624">
      <c r="I1624" s="5"/>
      <c r="K1624" s="5"/>
      <c r="Q1624" s="5"/>
    </row>
    <row r="1625">
      <c r="I1625" s="5"/>
      <c r="K1625" s="5"/>
      <c r="Q1625" s="5"/>
    </row>
    <row r="1626">
      <c r="I1626" s="5"/>
      <c r="K1626" s="5"/>
      <c r="Q1626" s="5"/>
    </row>
    <row r="1627">
      <c r="I1627" s="5"/>
      <c r="K1627" s="5"/>
      <c r="Q1627" s="5"/>
    </row>
    <row r="1628">
      <c r="I1628" s="5"/>
      <c r="K1628" s="5"/>
      <c r="Q1628" s="5"/>
    </row>
    <row r="1629">
      <c r="I1629" s="5"/>
      <c r="K1629" s="5"/>
      <c r="Q1629" s="5"/>
    </row>
    <row r="1630">
      <c r="I1630" s="5"/>
      <c r="K1630" s="5"/>
      <c r="Q1630" s="5"/>
    </row>
    <row r="1631">
      <c r="I1631" s="5"/>
      <c r="K1631" s="5"/>
      <c r="Q1631" s="5"/>
    </row>
    <row r="1632">
      <c r="I1632" s="5"/>
      <c r="K1632" s="5"/>
      <c r="Q1632" s="5"/>
    </row>
    <row r="1633">
      <c r="I1633" s="5"/>
      <c r="K1633" s="5"/>
      <c r="Q1633" s="5"/>
    </row>
    <row r="1634">
      <c r="I1634" s="5"/>
      <c r="K1634" s="5"/>
      <c r="Q1634" s="5"/>
    </row>
    <row r="1635">
      <c r="I1635" s="5"/>
      <c r="K1635" s="5"/>
      <c r="Q1635" s="5"/>
    </row>
    <row r="1636">
      <c r="I1636" s="5"/>
      <c r="K1636" s="5"/>
      <c r="Q1636" s="5"/>
    </row>
    <row r="1637">
      <c r="I1637" s="5"/>
      <c r="K1637" s="5"/>
      <c r="Q1637" s="5"/>
    </row>
    <row r="1638">
      <c r="I1638" s="5"/>
      <c r="K1638" s="5"/>
      <c r="Q1638" s="5"/>
    </row>
    <row r="1639">
      <c r="I1639" s="5"/>
      <c r="K1639" s="5"/>
      <c r="Q1639" s="5"/>
    </row>
    <row r="1640">
      <c r="I1640" s="5"/>
      <c r="K1640" s="5"/>
      <c r="Q1640" s="5"/>
    </row>
    <row r="1641">
      <c r="I1641" s="5"/>
      <c r="K1641" s="5"/>
      <c r="Q1641" s="5"/>
    </row>
    <row r="1642">
      <c r="I1642" s="5"/>
      <c r="K1642" s="5"/>
      <c r="Q1642" s="5"/>
    </row>
    <row r="1643">
      <c r="I1643" s="5"/>
      <c r="K1643" s="5"/>
      <c r="Q1643" s="5"/>
    </row>
    <row r="1644">
      <c r="I1644" s="5"/>
      <c r="K1644" s="5"/>
      <c r="Q1644" s="5"/>
    </row>
    <row r="1645">
      <c r="I1645" s="5"/>
      <c r="K1645" s="5"/>
      <c r="Q1645" s="5"/>
    </row>
    <row r="1646">
      <c r="I1646" s="5"/>
      <c r="K1646" s="5"/>
      <c r="Q1646" s="5"/>
    </row>
    <row r="1647">
      <c r="I1647" s="5"/>
      <c r="K1647" s="5"/>
      <c r="Q1647" s="5"/>
    </row>
    <row r="1648">
      <c r="I1648" s="5"/>
      <c r="K1648" s="5"/>
      <c r="Q1648" s="5"/>
    </row>
    <row r="1649">
      <c r="I1649" s="5"/>
      <c r="K1649" s="5"/>
      <c r="Q1649" s="5"/>
    </row>
    <row r="1650">
      <c r="I1650" s="5"/>
      <c r="K1650" s="5"/>
      <c r="Q1650" s="5"/>
    </row>
    <row r="1651">
      <c r="I1651" s="5"/>
      <c r="K1651" s="5"/>
      <c r="Q1651" s="5"/>
    </row>
    <row r="1652">
      <c r="I1652" s="5"/>
      <c r="K1652" s="5"/>
      <c r="Q1652" s="5"/>
    </row>
    <row r="1653">
      <c r="I1653" s="5"/>
      <c r="K1653" s="5"/>
      <c r="Q1653" s="5"/>
    </row>
    <row r="1654">
      <c r="I1654" s="5"/>
      <c r="K1654" s="5"/>
      <c r="Q1654" s="5"/>
    </row>
    <row r="1655">
      <c r="I1655" s="5"/>
      <c r="K1655" s="5"/>
      <c r="Q1655" s="5"/>
    </row>
    <row r="1656">
      <c r="I1656" s="5"/>
      <c r="K1656" s="5"/>
      <c r="Q1656" s="5"/>
    </row>
    <row r="1657">
      <c r="I1657" s="5"/>
      <c r="K1657" s="5"/>
      <c r="Q1657" s="5"/>
    </row>
    <row r="1658">
      <c r="I1658" s="5"/>
      <c r="K1658" s="5"/>
      <c r="Q1658" s="5"/>
    </row>
    <row r="1659">
      <c r="I1659" s="5"/>
      <c r="K1659" s="5"/>
      <c r="Q1659" s="5"/>
    </row>
    <row r="1660">
      <c r="I1660" s="5"/>
      <c r="K1660" s="5"/>
      <c r="Q1660" s="5"/>
    </row>
    <row r="1661">
      <c r="I1661" s="5"/>
      <c r="K1661" s="5"/>
      <c r="Q1661" s="5"/>
    </row>
    <row r="1662">
      <c r="I1662" s="5"/>
      <c r="K1662" s="5"/>
      <c r="Q1662" s="5"/>
    </row>
    <row r="1663">
      <c r="I1663" s="5"/>
      <c r="K1663" s="5"/>
      <c r="Q1663" s="5"/>
    </row>
    <row r="1664">
      <c r="I1664" s="5"/>
      <c r="K1664" s="5"/>
      <c r="Q1664" s="5"/>
    </row>
    <row r="1665">
      <c r="I1665" s="5"/>
      <c r="K1665" s="5"/>
      <c r="Q1665" s="5"/>
    </row>
    <row r="1666">
      <c r="I1666" s="5"/>
      <c r="K1666" s="5"/>
      <c r="Q1666" s="5"/>
    </row>
    <row r="1667">
      <c r="I1667" s="5"/>
      <c r="K1667" s="5"/>
      <c r="Q1667" s="5"/>
    </row>
    <row r="1668">
      <c r="I1668" s="5"/>
      <c r="K1668" s="5"/>
      <c r="Q1668" s="5"/>
    </row>
    <row r="1669">
      <c r="I1669" s="5"/>
      <c r="K1669" s="5"/>
      <c r="Q1669" s="5"/>
    </row>
    <row r="1670">
      <c r="I1670" s="5"/>
      <c r="K1670" s="5"/>
      <c r="Q1670" s="5"/>
    </row>
    <row r="1671">
      <c r="I1671" s="5"/>
      <c r="K1671" s="5"/>
      <c r="Q1671" s="5"/>
    </row>
    <row r="1672">
      <c r="I1672" s="5"/>
      <c r="K1672" s="5"/>
      <c r="Q1672" s="5"/>
    </row>
    <row r="1673">
      <c r="I1673" s="5"/>
      <c r="K1673" s="5"/>
      <c r="Q1673" s="5"/>
    </row>
    <row r="1674">
      <c r="I1674" s="5"/>
      <c r="K1674" s="5"/>
      <c r="Q1674" s="5"/>
    </row>
    <row r="1675">
      <c r="I1675" s="5"/>
      <c r="K1675" s="5"/>
      <c r="Q1675" s="5"/>
    </row>
    <row r="1676">
      <c r="I1676" s="5"/>
      <c r="K1676" s="5"/>
      <c r="Q1676" s="5"/>
    </row>
    <row r="1677">
      <c r="I1677" s="5"/>
      <c r="K1677" s="5"/>
      <c r="Q1677" s="5"/>
    </row>
    <row r="1678">
      <c r="I1678" s="5"/>
      <c r="K1678" s="5"/>
      <c r="Q1678" s="5"/>
    </row>
    <row r="1679">
      <c r="I1679" s="5"/>
      <c r="K1679" s="5"/>
      <c r="Q1679" s="5"/>
    </row>
    <row r="1680">
      <c r="I1680" s="5"/>
      <c r="K1680" s="5"/>
      <c r="Q1680" s="5"/>
    </row>
    <row r="1681">
      <c r="I1681" s="5"/>
      <c r="K1681" s="5"/>
      <c r="Q1681" s="5"/>
    </row>
    <row r="1682">
      <c r="I1682" s="5"/>
      <c r="K1682" s="5"/>
      <c r="Q1682" s="5"/>
    </row>
    <row r="1683">
      <c r="I1683" s="5"/>
      <c r="K1683" s="5"/>
      <c r="Q1683" s="5"/>
    </row>
    <row r="1684">
      <c r="I1684" s="5"/>
      <c r="K1684" s="5"/>
      <c r="Q1684" s="5"/>
    </row>
    <row r="1685">
      <c r="I1685" s="5"/>
      <c r="K1685" s="5"/>
      <c r="Q1685" s="5"/>
    </row>
    <row r="1686">
      <c r="I1686" s="5"/>
      <c r="K1686" s="5"/>
      <c r="Q1686" s="5"/>
    </row>
    <row r="1687">
      <c r="I1687" s="5"/>
      <c r="K1687" s="5"/>
      <c r="Q1687" s="5"/>
    </row>
    <row r="1688">
      <c r="I1688" s="5"/>
      <c r="K1688" s="5"/>
      <c r="Q1688" s="5"/>
    </row>
    <row r="1689">
      <c r="I1689" s="5"/>
      <c r="K1689" s="5"/>
      <c r="Q1689" s="5"/>
    </row>
    <row r="1690">
      <c r="I1690" s="5"/>
      <c r="K1690" s="5"/>
      <c r="Q1690" s="5"/>
    </row>
    <row r="1691">
      <c r="I1691" s="5"/>
      <c r="K1691" s="5"/>
      <c r="Q1691" s="5"/>
    </row>
    <row r="1692">
      <c r="I1692" s="5"/>
      <c r="K1692" s="5"/>
      <c r="Q1692" s="5"/>
    </row>
    <row r="1693">
      <c r="I1693" s="5"/>
      <c r="K1693" s="5"/>
      <c r="Q1693" s="5"/>
    </row>
    <row r="1694">
      <c r="I1694" s="5"/>
      <c r="K1694" s="5"/>
      <c r="Q1694" s="5"/>
    </row>
    <row r="1695">
      <c r="I1695" s="5"/>
      <c r="K1695" s="5"/>
      <c r="Q1695" s="5"/>
    </row>
    <row r="1696">
      <c r="I1696" s="5"/>
      <c r="K1696" s="5"/>
      <c r="Q1696" s="5"/>
    </row>
    <row r="1697">
      <c r="I1697" s="5"/>
      <c r="K1697" s="5"/>
      <c r="Q1697" s="5"/>
    </row>
    <row r="1698">
      <c r="I1698" s="5"/>
      <c r="K1698" s="5"/>
      <c r="Q1698" s="5"/>
    </row>
    <row r="1699">
      <c r="I1699" s="5"/>
      <c r="K1699" s="5"/>
      <c r="Q1699" s="5"/>
    </row>
    <row r="1700">
      <c r="I1700" s="5"/>
      <c r="K1700" s="5"/>
      <c r="Q1700" s="5"/>
    </row>
    <row r="1701">
      <c r="I1701" s="5"/>
      <c r="K1701" s="5"/>
      <c r="Q1701" s="5"/>
    </row>
    <row r="1702">
      <c r="I1702" s="5"/>
      <c r="K1702" s="5"/>
      <c r="Q1702" s="5"/>
    </row>
    <row r="1703">
      <c r="I1703" s="5"/>
      <c r="K1703" s="5"/>
      <c r="Q1703" s="5"/>
    </row>
    <row r="1704">
      <c r="I1704" s="5"/>
      <c r="K1704" s="5"/>
      <c r="Q1704" s="5"/>
    </row>
    <row r="1705">
      <c r="I1705" s="5"/>
      <c r="K1705" s="5"/>
      <c r="Q1705" s="5"/>
    </row>
    <row r="1706">
      <c r="I1706" s="5"/>
      <c r="K1706" s="5"/>
      <c r="Q1706" s="5"/>
    </row>
    <row r="1707">
      <c r="I1707" s="5"/>
      <c r="K1707" s="5"/>
      <c r="Q1707" s="5"/>
    </row>
    <row r="1708">
      <c r="I1708" s="5"/>
      <c r="K1708" s="5"/>
      <c r="Q1708" s="5"/>
    </row>
    <row r="1709">
      <c r="I1709" s="5"/>
      <c r="K1709" s="5"/>
      <c r="Q1709" s="5"/>
    </row>
    <row r="1710">
      <c r="I1710" s="5"/>
      <c r="K1710" s="5"/>
      <c r="Q1710" s="5"/>
    </row>
    <row r="1711">
      <c r="I1711" s="5"/>
      <c r="K1711" s="5"/>
      <c r="Q1711" s="5"/>
    </row>
    <row r="1712">
      <c r="I1712" s="5"/>
      <c r="K1712" s="5"/>
      <c r="Q1712" s="5"/>
    </row>
    <row r="1713">
      <c r="I1713" s="5"/>
      <c r="K1713" s="5"/>
      <c r="Q1713" s="5"/>
    </row>
    <row r="1714">
      <c r="I1714" s="5"/>
      <c r="K1714" s="5"/>
      <c r="Q1714" s="5"/>
    </row>
    <row r="1715">
      <c r="I1715" s="5"/>
      <c r="K1715" s="5"/>
      <c r="Q1715" s="5"/>
    </row>
    <row r="1716">
      <c r="I1716" s="5"/>
      <c r="K1716" s="5"/>
      <c r="Q1716" s="5"/>
    </row>
    <row r="1717">
      <c r="I1717" s="5"/>
      <c r="K1717" s="5"/>
      <c r="Q1717" s="5"/>
    </row>
    <row r="1718">
      <c r="I1718" s="5"/>
      <c r="K1718" s="5"/>
      <c r="Q1718" s="5"/>
    </row>
    <row r="1719">
      <c r="I1719" s="5"/>
      <c r="K1719" s="5"/>
      <c r="Q1719" s="5"/>
    </row>
    <row r="1720">
      <c r="I1720" s="5"/>
      <c r="K1720" s="5"/>
      <c r="Q1720" s="5"/>
    </row>
    <row r="1721">
      <c r="I1721" s="5"/>
      <c r="K1721" s="5"/>
      <c r="Q1721" s="5"/>
    </row>
    <row r="1722">
      <c r="I1722" s="5"/>
      <c r="K1722" s="5"/>
      <c r="Q1722" s="5"/>
    </row>
    <row r="1723">
      <c r="I1723" s="5"/>
      <c r="K1723" s="5"/>
      <c r="Q1723" s="5"/>
    </row>
    <row r="1724">
      <c r="I1724" s="5"/>
      <c r="K1724" s="5"/>
      <c r="Q1724" s="5"/>
    </row>
    <row r="1725">
      <c r="I1725" s="5"/>
      <c r="K1725" s="5"/>
      <c r="Q1725" s="5"/>
    </row>
    <row r="1726">
      <c r="I1726" s="5"/>
      <c r="K1726" s="5"/>
      <c r="Q1726" s="5"/>
    </row>
    <row r="1727">
      <c r="I1727" s="5"/>
      <c r="K1727" s="5"/>
      <c r="Q1727" s="5"/>
    </row>
    <row r="1728">
      <c r="I1728" s="5"/>
      <c r="K1728" s="5"/>
      <c r="Q1728" s="5"/>
    </row>
    <row r="1729">
      <c r="I1729" s="5"/>
      <c r="K1729" s="5"/>
      <c r="Q1729" s="5"/>
    </row>
    <row r="1730">
      <c r="I1730" s="5"/>
      <c r="K1730" s="5"/>
      <c r="Q1730" s="5"/>
    </row>
    <row r="1731">
      <c r="I1731" s="5"/>
      <c r="K1731" s="5"/>
      <c r="Q1731" s="5"/>
    </row>
    <row r="1732">
      <c r="I1732" s="5"/>
      <c r="K1732" s="5"/>
      <c r="Q1732" s="5"/>
    </row>
    <row r="1733">
      <c r="I1733" s="5"/>
      <c r="K1733" s="5"/>
      <c r="Q1733" s="5"/>
    </row>
    <row r="1734">
      <c r="I1734" s="5"/>
      <c r="K1734" s="5"/>
      <c r="Q1734" s="5"/>
    </row>
    <row r="1735">
      <c r="I1735" s="5"/>
      <c r="K1735" s="5"/>
      <c r="Q1735" s="5"/>
    </row>
    <row r="1736">
      <c r="I1736" s="5"/>
      <c r="K1736" s="5"/>
      <c r="Q1736" s="5"/>
    </row>
    <row r="1737">
      <c r="I1737" s="5"/>
      <c r="K1737" s="5"/>
      <c r="Q1737" s="5"/>
    </row>
    <row r="1738">
      <c r="I1738" s="5"/>
      <c r="K1738" s="5"/>
      <c r="Q1738" s="5"/>
    </row>
    <row r="1739">
      <c r="I1739" s="5"/>
      <c r="K1739" s="5"/>
      <c r="Q1739" s="5"/>
    </row>
    <row r="1740">
      <c r="I1740" s="5"/>
      <c r="K1740" s="5"/>
      <c r="Q1740" s="5"/>
    </row>
    <row r="1741">
      <c r="I1741" s="5"/>
      <c r="K1741" s="5"/>
      <c r="Q1741" s="5"/>
    </row>
    <row r="1742">
      <c r="I1742" s="5"/>
      <c r="K1742" s="5"/>
      <c r="Q1742" s="5"/>
    </row>
    <row r="1743">
      <c r="I1743" s="5"/>
      <c r="K1743" s="5"/>
      <c r="Q1743" s="5"/>
    </row>
    <row r="1744">
      <c r="I1744" s="5"/>
      <c r="K1744" s="5"/>
      <c r="Q1744" s="5"/>
    </row>
    <row r="1745">
      <c r="I1745" s="5"/>
      <c r="K1745" s="5"/>
      <c r="Q1745" s="5"/>
    </row>
    <row r="1746">
      <c r="I1746" s="5"/>
      <c r="K1746" s="5"/>
      <c r="Q1746" s="5"/>
    </row>
    <row r="1747">
      <c r="I1747" s="5"/>
      <c r="K1747" s="5"/>
      <c r="Q1747" s="5"/>
    </row>
    <row r="1748">
      <c r="I1748" s="5"/>
      <c r="K1748" s="5"/>
      <c r="Q1748" s="5"/>
    </row>
    <row r="1749">
      <c r="I1749" s="5"/>
      <c r="K1749" s="5"/>
      <c r="Q1749" s="5"/>
    </row>
    <row r="1750">
      <c r="I1750" s="5"/>
      <c r="K1750" s="5"/>
      <c r="Q1750" s="5"/>
    </row>
    <row r="1751">
      <c r="I1751" s="5"/>
      <c r="K1751" s="5"/>
      <c r="Q1751" s="5"/>
    </row>
    <row r="1752">
      <c r="I1752" s="5"/>
      <c r="K1752" s="5"/>
      <c r="Q1752" s="5"/>
    </row>
    <row r="1753">
      <c r="I1753" s="5"/>
      <c r="K1753" s="5"/>
      <c r="Q1753" s="5"/>
    </row>
    <row r="1754">
      <c r="I1754" s="5"/>
      <c r="K1754" s="5"/>
      <c r="Q1754" s="5"/>
    </row>
    <row r="1755">
      <c r="I1755" s="5"/>
      <c r="K1755" s="5"/>
      <c r="Q1755" s="5"/>
    </row>
    <row r="1756">
      <c r="I1756" s="5"/>
      <c r="K1756" s="5"/>
      <c r="Q1756" s="5"/>
    </row>
  </sheetData>
  <drawing r:id="rId1"/>
</worksheet>
</file>